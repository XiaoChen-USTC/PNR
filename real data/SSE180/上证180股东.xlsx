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/>
  </bookViews>
  <sheets>
    <sheet name="Sheet2" sheetId="2" r:id="rId1"/>
    <sheet name="Sheet3" sheetId="3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L3" i="2" l="1"/>
  <c r="K3" i="2"/>
  <c r="J3" i="2"/>
  <c r="I3" i="2"/>
  <c r="H3" i="2"/>
  <c r="G3" i="2"/>
  <c r="F3" i="2"/>
  <c r="E3" i="2"/>
  <c r="D3" i="2"/>
  <c r="B3" i="2"/>
</calcChain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F3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G3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I3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J3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K3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L3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<sst xmlns="http://schemas.openxmlformats.org/spreadsheetml/2006/main" count="2027" uniqueCount="1358">
  <si>
    <t>代码</t>
  </si>
  <si>
    <t>Code</t>
  </si>
  <si>
    <t>600000.SH</t>
  </si>
  <si>
    <t>600009.SH</t>
  </si>
  <si>
    <t>600010.SH</t>
  </si>
  <si>
    <t>600011.SH</t>
  </si>
  <si>
    <t>600016.SH</t>
  </si>
  <si>
    <t>600019.SH</t>
  </si>
  <si>
    <t>600021.SH</t>
  </si>
  <si>
    <t>600025.SH</t>
  </si>
  <si>
    <t>600026.SH</t>
  </si>
  <si>
    <t>600027.SH</t>
  </si>
  <si>
    <t>600028.SH</t>
  </si>
  <si>
    <t>600030.SH</t>
  </si>
  <si>
    <t>600031.SH</t>
  </si>
  <si>
    <t>600036.SH</t>
  </si>
  <si>
    <t>600048.SH</t>
  </si>
  <si>
    <t>600050.SH</t>
  </si>
  <si>
    <t>600056.SH</t>
  </si>
  <si>
    <t>600062.SH</t>
  </si>
  <si>
    <t>600085.SH</t>
  </si>
  <si>
    <t>600089.SH</t>
  </si>
  <si>
    <t>600096.SH</t>
  </si>
  <si>
    <t>600104.SH</t>
  </si>
  <si>
    <t>600111.SH</t>
  </si>
  <si>
    <t>600132.SH</t>
  </si>
  <si>
    <t>600141.SH</t>
  </si>
  <si>
    <t>600150.SH</t>
  </si>
  <si>
    <t>600160.SH</t>
  </si>
  <si>
    <t>600176.SH</t>
  </si>
  <si>
    <t>600188.SH</t>
  </si>
  <si>
    <t>600196.SH</t>
  </si>
  <si>
    <t>600276.SH</t>
  </si>
  <si>
    <t>600298.SH</t>
  </si>
  <si>
    <t>600309.SH</t>
  </si>
  <si>
    <t>600332.SH</t>
  </si>
  <si>
    <t>600346.SH</t>
  </si>
  <si>
    <t>600383.SH</t>
  </si>
  <si>
    <t>600406.SH</t>
  </si>
  <si>
    <t>600426.SH</t>
  </si>
  <si>
    <t>600436.SH</t>
  </si>
  <si>
    <t>600438.SH</t>
  </si>
  <si>
    <t>600460.SH</t>
  </si>
  <si>
    <t>600487.SH</t>
  </si>
  <si>
    <t>600499.SH</t>
  </si>
  <si>
    <t>600519.SH</t>
  </si>
  <si>
    <t>600521.SH</t>
  </si>
  <si>
    <t>600522.SH</t>
  </si>
  <si>
    <t>600547.SH</t>
  </si>
  <si>
    <t>600570.SH</t>
  </si>
  <si>
    <t>600584.SH</t>
  </si>
  <si>
    <t>600585.SH</t>
  </si>
  <si>
    <t>600588.SH</t>
  </si>
  <si>
    <t>600600.SH</t>
  </si>
  <si>
    <t>600660.SH</t>
  </si>
  <si>
    <t>600690.SH</t>
  </si>
  <si>
    <t>600732.SH</t>
  </si>
  <si>
    <t>600741.SH</t>
  </si>
  <si>
    <t>600745.SH</t>
  </si>
  <si>
    <t>600754.SH</t>
  </si>
  <si>
    <t>600760.SH</t>
  </si>
  <si>
    <t>600763.SH</t>
  </si>
  <si>
    <t>600765.SH</t>
  </si>
  <si>
    <t>600779.SH</t>
  </si>
  <si>
    <t>600795.SH</t>
  </si>
  <si>
    <t>600809.SH</t>
  </si>
  <si>
    <t>600837.SH</t>
  </si>
  <si>
    <t>600859.SH</t>
  </si>
  <si>
    <t>600872.SH</t>
  </si>
  <si>
    <t>600873.SH</t>
  </si>
  <si>
    <t>600875.SH</t>
  </si>
  <si>
    <t>600884.SH</t>
  </si>
  <si>
    <t>600887.SH</t>
  </si>
  <si>
    <t>600893.SH</t>
  </si>
  <si>
    <t>600900.SH</t>
  </si>
  <si>
    <t>600905.SH</t>
  </si>
  <si>
    <t>600919.SH</t>
  </si>
  <si>
    <t>600926.SH</t>
  </si>
  <si>
    <t>600938.SH</t>
  </si>
  <si>
    <t>600941.SH</t>
  </si>
  <si>
    <t>600958.SH</t>
  </si>
  <si>
    <t>600988.SH</t>
  </si>
  <si>
    <t>600989.SH</t>
  </si>
  <si>
    <t>600999.SH</t>
  </si>
  <si>
    <t>601009.SH</t>
  </si>
  <si>
    <t>601012.SH</t>
  </si>
  <si>
    <t>601066.SH</t>
  </si>
  <si>
    <t>601088.SH</t>
  </si>
  <si>
    <t>601100.SH</t>
  </si>
  <si>
    <t>601111.SH</t>
  </si>
  <si>
    <t>601117.SH</t>
  </si>
  <si>
    <t>601136.SH</t>
  </si>
  <si>
    <t>601138.SH</t>
  </si>
  <si>
    <t>601155.SH</t>
  </si>
  <si>
    <t>601166.SH</t>
  </si>
  <si>
    <t>601169.SH</t>
  </si>
  <si>
    <t>601186.SH</t>
  </si>
  <si>
    <t>601211.SH</t>
  </si>
  <si>
    <t>601225.SH</t>
  </si>
  <si>
    <t>601238.SH</t>
  </si>
  <si>
    <t>601288.SH</t>
  </si>
  <si>
    <t>601318.SH</t>
  </si>
  <si>
    <t>601319.SH</t>
  </si>
  <si>
    <t>601328.SH</t>
  </si>
  <si>
    <t>601336.SH</t>
  </si>
  <si>
    <t>601360.SH</t>
  </si>
  <si>
    <t>601377.SH</t>
  </si>
  <si>
    <t>601390.SH</t>
  </si>
  <si>
    <t>601398.SH</t>
  </si>
  <si>
    <t>601456.SH</t>
  </si>
  <si>
    <t>601600.SH</t>
  </si>
  <si>
    <t>601601.SH</t>
  </si>
  <si>
    <t>601607.SH</t>
  </si>
  <si>
    <t>601615.SH</t>
  </si>
  <si>
    <t>601618.SH</t>
  </si>
  <si>
    <t>601628.SH</t>
  </si>
  <si>
    <t>601633.SH</t>
  </si>
  <si>
    <t>601636.SH</t>
  </si>
  <si>
    <t>601658.SH</t>
  </si>
  <si>
    <t>601668.SH</t>
  </si>
  <si>
    <t>601669.SH</t>
  </si>
  <si>
    <t>601688.SH</t>
  </si>
  <si>
    <t>601689.SH</t>
  </si>
  <si>
    <t>601696.SH</t>
  </si>
  <si>
    <t>601728.SH</t>
  </si>
  <si>
    <t>601766.SH</t>
  </si>
  <si>
    <t>601788.SH</t>
  </si>
  <si>
    <t>601800.SH</t>
  </si>
  <si>
    <t>601818.SH</t>
  </si>
  <si>
    <t>601838.SH</t>
  </si>
  <si>
    <t>601857.SH</t>
  </si>
  <si>
    <t>601868.SH</t>
  </si>
  <si>
    <t>601872.SH</t>
  </si>
  <si>
    <t>601877.SH</t>
  </si>
  <si>
    <t>601878.SH</t>
  </si>
  <si>
    <t>601881.SH</t>
  </si>
  <si>
    <t>601888.SH</t>
  </si>
  <si>
    <t>601899.SH</t>
  </si>
  <si>
    <t>601919.SH</t>
  </si>
  <si>
    <t>601939.SH</t>
  </si>
  <si>
    <t>601985.SH</t>
  </si>
  <si>
    <t>601988.SH</t>
  </si>
  <si>
    <t>601989.SH</t>
  </si>
  <si>
    <t>601995.SH</t>
  </si>
  <si>
    <t>603019.SH</t>
  </si>
  <si>
    <t>603077.SH</t>
  </si>
  <si>
    <t>603185.SH</t>
  </si>
  <si>
    <t>603259.SH</t>
  </si>
  <si>
    <t>603260.SH</t>
  </si>
  <si>
    <t>603288.SH</t>
  </si>
  <si>
    <t>603290.SH</t>
  </si>
  <si>
    <t>603345.SH</t>
  </si>
  <si>
    <t>603369.SH</t>
  </si>
  <si>
    <t>603392.SH</t>
  </si>
  <si>
    <t>603486.SH</t>
  </si>
  <si>
    <t>603501.SH</t>
  </si>
  <si>
    <t>603517.SH</t>
  </si>
  <si>
    <t>603589.SH</t>
  </si>
  <si>
    <t>603605.SH</t>
  </si>
  <si>
    <t>603606.SH</t>
  </si>
  <si>
    <t>603659.SH</t>
  </si>
  <si>
    <t>603688.SH</t>
  </si>
  <si>
    <t>603799.SH</t>
  </si>
  <si>
    <t>603806.SH</t>
  </si>
  <si>
    <t>603882.SH</t>
  </si>
  <si>
    <t>603986.SH</t>
  </si>
  <si>
    <t>603993.SH</t>
  </si>
  <si>
    <t>605117.SH</t>
  </si>
  <si>
    <t>605358.SH</t>
  </si>
  <si>
    <t>688005.SH</t>
  </si>
  <si>
    <t>688008.SH</t>
  </si>
  <si>
    <t>688012.SH</t>
  </si>
  <si>
    <t>688063.SH</t>
  </si>
  <si>
    <t>688111.SH</t>
  </si>
  <si>
    <t>688122.SH</t>
  </si>
  <si>
    <t>688180.SH</t>
  </si>
  <si>
    <t>688223.SH</t>
  </si>
  <si>
    <t>688303.SH</t>
  </si>
  <si>
    <t>688363.SH</t>
  </si>
  <si>
    <t>688390.SH</t>
  </si>
  <si>
    <t>688599.SH</t>
  </si>
  <si>
    <t>688981.SH</t>
  </si>
  <si>
    <t>名称</t>
  </si>
  <si>
    <t>Name</t>
  </si>
  <si>
    <t>大股东名称
[日期]2023-07-01
[排名]第1名</t>
  </si>
  <si>
    <t>大股东名称
[日期]2023-07-01
[排名]第2名</t>
  </si>
  <si>
    <t>大股东名称
[日期]2023-07-01
[排名]第3名</t>
  </si>
  <si>
    <t>大股东名称
[日期]2023-07-01
[排名]第4名</t>
  </si>
  <si>
    <t>大股东名称
[日期]2023-07-01
[排名]第5名</t>
  </si>
  <si>
    <t>大股东名称
[日期]2023-07-01
[排名]第6名</t>
  </si>
  <si>
    <t>大股东名称
[日期]2023-07-01
[排名]第7名</t>
  </si>
  <si>
    <t>大股东名称
[日期]2023-07-01
[排名]第8名</t>
  </si>
  <si>
    <t>大股东名称
[日期]2023-07-01
[排名]第9名</t>
  </si>
  <si>
    <t>大股东名称
[日期]2023-07-01
[排名]第10名</t>
  </si>
  <si>
    <t>holder_name</t>
  </si>
  <si>
    <t>上海国际集团有限公司</t>
  </si>
  <si>
    <t>上海机场(集团)有限公司</t>
  </si>
  <si>
    <t>包头钢铁(集团)有限责任公司</t>
  </si>
  <si>
    <t>华能国际电力开发公司</t>
  </si>
  <si>
    <t>香港中央结算(代理人)有限公司</t>
  </si>
  <si>
    <t>中国宝武钢铁集团有限公司</t>
  </si>
  <si>
    <t>国家电力投资集团有限公司</t>
  </si>
  <si>
    <t>中国华能集团有限公司</t>
  </si>
  <si>
    <t>中国海运集团有限公司</t>
  </si>
  <si>
    <t>中国华电集团有限公司</t>
  </si>
  <si>
    <t>中国石油化工集团有限公司</t>
  </si>
  <si>
    <t>三一集团有限公司</t>
  </si>
  <si>
    <t>保利南方集团有限公司</t>
  </si>
  <si>
    <t>中国联合网络通信集团有限公司</t>
  </si>
  <si>
    <t>中国通用技术(集团)控股有限责任公司</t>
  </si>
  <si>
    <t>北京医药集团有限责任公司</t>
  </si>
  <si>
    <t>中国北京同仁堂(集团)有限责任公司</t>
  </si>
  <si>
    <t>新疆特变电工集团有限公司</t>
  </si>
  <si>
    <t>云天化集团有限责任公司</t>
  </si>
  <si>
    <t>上海汽车工业(集团)有限公司</t>
  </si>
  <si>
    <t>嘉士伯啤酒厂香港有限公司</t>
  </si>
  <si>
    <t>宜昌兴发集团有限责任公司</t>
  </si>
  <si>
    <t>中国船舶工业集团有限公司</t>
  </si>
  <si>
    <t>巨化集团有限公司</t>
  </si>
  <si>
    <t>中国建材股份有限公司</t>
  </si>
  <si>
    <t>山东能源集团有限公司</t>
  </si>
  <si>
    <t>上海复星高科技(集团)有限公司</t>
  </si>
  <si>
    <t>江苏恒瑞医药集团有限公司</t>
  </si>
  <si>
    <t>湖北安琪生物集团有限公司</t>
  </si>
  <si>
    <t>烟台国丰投资控股集团有限公司</t>
  </si>
  <si>
    <t>广州医药集团有限公司</t>
  </si>
  <si>
    <t>恒能投资(大连)有限公司</t>
  </si>
  <si>
    <t>富德生命人寿保险股份有限公司-万能H</t>
  </si>
  <si>
    <t>南瑞集团有限公司</t>
  </si>
  <si>
    <t>山东华鲁恒升集团有限公司</t>
  </si>
  <si>
    <t>漳州市九龙江集团有限公司</t>
  </si>
  <si>
    <t>通威集团有限公司</t>
  </si>
  <si>
    <t>杭州士兰控股有限公司</t>
  </si>
  <si>
    <t>亨通集团有限公司</t>
  </si>
  <si>
    <t>梁桐灿</t>
  </si>
  <si>
    <t>中国贵州茅台酒厂(集团)有限责任公司</t>
  </si>
  <si>
    <t>陈保华</t>
  </si>
  <si>
    <t>中天科技集团有限公司</t>
  </si>
  <si>
    <t>山东黄金集团有限公司</t>
  </si>
  <si>
    <t>杭州恒生电子集团有限公司</t>
  </si>
  <si>
    <t>国家集成电路产业投资基金股份有限公司</t>
  </si>
  <si>
    <t>安徽海螺集团有限责任公司</t>
  </si>
  <si>
    <t>北京用友科技有限公司</t>
  </si>
  <si>
    <t>陈刚</t>
  </si>
  <si>
    <t>上海汽车集团股份有限公司</t>
  </si>
  <si>
    <t>闻天下科技集团有限公司</t>
  </si>
  <si>
    <t>上海锦江资本股份有限公司</t>
  </si>
  <si>
    <t>中国航空工业集团有限公司</t>
  </si>
  <si>
    <t>杭州宝群实业集团有限公司</t>
  </si>
  <si>
    <t>贵州金江航空液压有限责任公司</t>
  </si>
  <si>
    <t>四川成都水井坊集团有限公司</t>
  </si>
  <si>
    <t>国家能源投资集团有限责任公司</t>
  </si>
  <si>
    <t>山西杏花村汾酒集团有限责任公司</t>
  </si>
  <si>
    <t>北京首都旅游集团有限责任公司</t>
  </si>
  <si>
    <t>中山火炬集团有限公司</t>
  </si>
  <si>
    <t>孟庆山</t>
  </si>
  <si>
    <t>中国东方电气集团有限公司</t>
  </si>
  <si>
    <t>杉杉集团有限公司</t>
  </si>
  <si>
    <t>香港中央结算有限公司(陆股通)</t>
  </si>
  <si>
    <t>中国航空发动机集团有限公司</t>
  </si>
  <si>
    <t>中国长江三峡集团有限公司</t>
  </si>
  <si>
    <t>江苏省国际信托有限责任公司</t>
  </si>
  <si>
    <t>杭州市财政局</t>
  </si>
  <si>
    <t>中国海洋石油(BVI)公司</t>
  </si>
  <si>
    <t>中国移动香港(BVI)有限公司</t>
  </si>
  <si>
    <t>申能(集团)有限公司</t>
  </si>
  <si>
    <t>李金阳</t>
  </si>
  <si>
    <t>宁夏宝丰集团有限公司</t>
  </si>
  <si>
    <t>招商局金融控股有限公司</t>
  </si>
  <si>
    <t>法国巴黎银行</t>
  </si>
  <si>
    <t>北京金融控股集团有限公司</t>
  </si>
  <si>
    <t>常州恒屹智能装备有限公司</t>
  </si>
  <si>
    <t>中国航空集团有限公司</t>
  </si>
  <si>
    <t>中国化学工程集团有限公司</t>
  </si>
  <si>
    <t>北京首都创业集团有限公司</t>
  </si>
  <si>
    <t>China Galaxy Enterprise Limited</t>
  </si>
  <si>
    <t>富域发展集团有限公司</t>
  </si>
  <si>
    <t>福建省金融投资有限责任公司</t>
  </si>
  <si>
    <t>ING BANK N.V.</t>
  </si>
  <si>
    <t>中国铁道建筑集团有限公司</t>
  </si>
  <si>
    <t>上海国有资产经营有限公司</t>
  </si>
  <si>
    <t>陕西煤业化工集团有限责任公司</t>
  </si>
  <si>
    <t>广州汽车工业集团有限公司</t>
  </si>
  <si>
    <t>中央汇金投资有限责任公司</t>
  </si>
  <si>
    <t>中华人民共和国财政部</t>
  </si>
  <si>
    <t>天津奇信志成科技有限公司</t>
  </si>
  <si>
    <t>福建省财政厅</t>
  </si>
  <si>
    <t>中国铁路工程集团有限公司</t>
  </si>
  <si>
    <t>无锡市国联发展(集团)有限公司</t>
  </si>
  <si>
    <t>中国铝业集团有限公司</t>
  </si>
  <si>
    <t>上海医药(集团)有限公司</t>
  </si>
  <si>
    <t>中国冶金科工集团有限公司</t>
  </si>
  <si>
    <t>中国人寿保险(集团)公司</t>
  </si>
  <si>
    <t>保定创新长城资产管理有限公司</t>
  </si>
  <si>
    <t>福建旗滨集团有限公司</t>
  </si>
  <si>
    <t>中国邮政集团有限公司</t>
  </si>
  <si>
    <t>中国建筑集团有限公司</t>
  </si>
  <si>
    <t>中国电力建设集团有限公司</t>
  </si>
  <si>
    <t>江苏省国信集团有限公司</t>
  </si>
  <si>
    <t>迈科国际控股(香港)有限公司</t>
  </si>
  <si>
    <t>中银国际控股有限公司</t>
  </si>
  <si>
    <t>中国电信集团有限公司</t>
  </si>
  <si>
    <t>中国中车集团有限公司</t>
  </si>
  <si>
    <t>中国光大集团股份公司</t>
  </si>
  <si>
    <t>中国交通建设集团有限公司</t>
  </si>
  <si>
    <t>成都交子金融控股集团有限公司</t>
  </si>
  <si>
    <t>中国石油集团</t>
  </si>
  <si>
    <t>中国能源建设集团有限公司</t>
  </si>
  <si>
    <t>招商局轮船有限公司</t>
  </si>
  <si>
    <t>正泰集团股份有限公司</t>
  </si>
  <si>
    <t>浙江上三高速公路有限公司</t>
  </si>
  <si>
    <t>中国银河金融控股有限责任公司</t>
  </si>
  <si>
    <t>中国旅游集团有限公司</t>
  </si>
  <si>
    <t>闽西兴杭国有资产投资经营有限公司</t>
  </si>
  <si>
    <t>中国远洋运输有限公司</t>
  </si>
  <si>
    <t>中国核工业集团有限公司</t>
  </si>
  <si>
    <t>中国船舶重工集团有限公司</t>
  </si>
  <si>
    <t>北京中科算源资产管理有限公司</t>
  </si>
  <si>
    <t>四川和邦投资集团有限公司</t>
  </si>
  <si>
    <t>杨建良</t>
  </si>
  <si>
    <t>宁波合盛集团有限公司</t>
  </si>
  <si>
    <t>广东海天集团股份有限公司</t>
  </si>
  <si>
    <t>香港斯达控股有限公司</t>
  </si>
  <si>
    <t>福建国力民生科技发展有限公司</t>
  </si>
  <si>
    <t>今世缘集团有限公司</t>
  </si>
  <si>
    <t>养生堂有限公司</t>
  </si>
  <si>
    <t>苏州创领智慧投资管理有限公司</t>
  </si>
  <si>
    <t>虞仁荣</t>
  </si>
  <si>
    <t>上海聚成企业发展合伙企业(有限合伙)</t>
  </si>
  <si>
    <t>徐进</t>
  </si>
  <si>
    <t>侯军呈</t>
  </si>
  <si>
    <t>宁波东方集团有限公司</t>
  </si>
  <si>
    <t>梁丰</t>
  </si>
  <si>
    <t>陈士斌</t>
  </si>
  <si>
    <t>华友控股集团有限公司</t>
  </si>
  <si>
    <t>杭州福斯特科技集团有限公司</t>
  </si>
  <si>
    <t>梁耀铭</t>
  </si>
  <si>
    <t>朱一明</t>
  </si>
  <si>
    <t>鸿商产业控股集团有限公司</t>
  </si>
  <si>
    <t>宁波梅山保税港区艾思睿投资管理有限公司</t>
  </si>
  <si>
    <t>王敏文</t>
  </si>
  <si>
    <t>上海容百新能源投资企业(有限合伙)</t>
  </si>
  <si>
    <t>中国电子投资控股有限公司</t>
  </si>
  <si>
    <t>上海创业投资有限公司</t>
  </si>
  <si>
    <t>中兴新通讯有限公司</t>
  </si>
  <si>
    <t>Kingsoft WPS Corporation Limited</t>
  </si>
  <si>
    <t>西北有色金属研究院</t>
  </si>
  <si>
    <t>晶科能源投资有限公司</t>
  </si>
  <si>
    <t>Daqo New Energy Corp.</t>
  </si>
  <si>
    <t>华熙昕宇投资有限公司</t>
  </si>
  <si>
    <t>黄敏</t>
  </si>
  <si>
    <t>高纪凡</t>
  </si>
  <si>
    <t>上海机场</t>
  </si>
  <si>
    <t>包钢股份</t>
  </si>
  <si>
    <t>华能国际</t>
  </si>
  <si>
    <t>民生银行</t>
  </si>
  <si>
    <t>宝钢股份</t>
  </si>
  <si>
    <t>上海电力</t>
  </si>
  <si>
    <t>华能水电</t>
  </si>
  <si>
    <t>中远海能</t>
  </si>
  <si>
    <t>华电国际</t>
  </si>
  <si>
    <t>中国石化</t>
  </si>
  <si>
    <t>中信证券</t>
  </si>
  <si>
    <t>三一重工</t>
  </si>
  <si>
    <t>招商银行</t>
  </si>
  <si>
    <t>保利发展</t>
  </si>
  <si>
    <t>中国联通</t>
  </si>
  <si>
    <t>中国医药</t>
  </si>
  <si>
    <t>华润双鹤</t>
  </si>
  <si>
    <t>同仁堂</t>
  </si>
  <si>
    <t>特变电工</t>
  </si>
  <si>
    <t>云天化</t>
  </si>
  <si>
    <t>上汽集团</t>
  </si>
  <si>
    <t>北方稀土</t>
  </si>
  <si>
    <t>重庆啤酒</t>
  </si>
  <si>
    <t>兴发集团</t>
  </si>
  <si>
    <t>中国船舶</t>
  </si>
  <si>
    <t>巨化股份</t>
  </si>
  <si>
    <t>中国巨石</t>
  </si>
  <si>
    <t>兖矿能源</t>
  </si>
  <si>
    <t>复星医药</t>
  </si>
  <si>
    <t>恒瑞医药</t>
  </si>
  <si>
    <t>安琪酵母</t>
  </si>
  <si>
    <t>万华化学</t>
  </si>
  <si>
    <t>白云山</t>
  </si>
  <si>
    <t>恒力石化</t>
  </si>
  <si>
    <t>金地集团</t>
  </si>
  <si>
    <t>国电南瑞</t>
  </si>
  <si>
    <t>华鲁恒升</t>
  </si>
  <si>
    <t>片仔癀</t>
  </si>
  <si>
    <t>通威股份</t>
  </si>
  <si>
    <t>士兰微</t>
  </si>
  <si>
    <t>亨通光电</t>
  </si>
  <si>
    <t>科达制造</t>
  </si>
  <si>
    <t>贵州茅台</t>
  </si>
  <si>
    <t>华海药业</t>
  </si>
  <si>
    <t>中天科技</t>
  </si>
  <si>
    <t>山东黄金</t>
  </si>
  <si>
    <t>恒生电子</t>
  </si>
  <si>
    <t>长电科技</t>
  </si>
  <si>
    <t>海螺水泥</t>
  </si>
  <si>
    <t>用友网络</t>
  </si>
  <si>
    <t>青岛啤酒</t>
  </si>
  <si>
    <t>福耀玻璃</t>
  </si>
  <si>
    <t>海尔智家</t>
  </si>
  <si>
    <t>爱旭股份</t>
  </si>
  <si>
    <t>华域汽车</t>
  </si>
  <si>
    <t>闻泰科技</t>
  </si>
  <si>
    <t>锦江酒店</t>
  </si>
  <si>
    <t>中航沈飞</t>
  </si>
  <si>
    <t>通策医疗</t>
  </si>
  <si>
    <t>中航重机</t>
  </si>
  <si>
    <t>水井坊</t>
  </si>
  <si>
    <t>国电电力</t>
  </si>
  <si>
    <t>山西汾酒</t>
  </si>
  <si>
    <t>海通证券</t>
  </si>
  <si>
    <t>王府井</t>
  </si>
  <si>
    <t>中炬高新</t>
  </si>
  <si>
    <t>梅花生物</t>
  </si>
  <si>
    <t>东方电气</t>
  </si>
  <si>
    <t>杉杉股份</t>
  </si>
  <si>
    <t>伊利股份</t>
  </si>
  <si>
    <t>航发动力</t>
  </si>
  <si>
    <t>长江电力</t>
  </si>
  <si>
    <t>三峡能源</t>
  </si>
  <si>
    <t>江苏银行</t>
  </si>
  <si>
    <t>杭州银行</t>
  </si>
  <si>
    <t>中国海油</t>
  </si>
  <si>
    <t>中国移动</t>
  </si>
  <si>
    <t>东方证券</t>
  </si>
  <si>
    <t>赤峰黄金</t>
  </si>
  <si>
    <t>宝丰能源</t>
  </si>
  <si>
    <t>招商证券</t>
  </si>
  <si>
    <t>南京银行</t>
  </si>
  <si>
    <t>隆基绿能</t>
  </si>
  <si>
    <t>中信建投</t>
  </si>
  <si>
    <t>中国神华</t>
  </si>
  <si>
    <t>恒立液压</t>
  </si>
  <si>
    <t>中国国航</t>
  </si>
  <si>
    <t>中国化学</t>
  </si>
  <si>
    <t>首创证券</t>
  </si>
  <si>
    <t>工业富联</t>
  </si>
  <si>
    <t>新城控股</t>
  </si>
  <si>
    <t>兴业银行</t>
  </si>
  <si>
    <t>北京银行</t>
  </si>
  <si>
    <t>中国铁建</t>
  </si>
  <si>
    <t>国泰君安</t>
  </si>
  <si>
    <t>陕西煤业</t>
  </si>
  <si>
    <t>广汽集团</t>
  </si>
  <si>
    <t>农业银行</t>
  </si>
  <si>
    <t>中国平安</t>
  </si>
  <si>
    <t>中国人保</t>
  </si>
  <si>
    <t>交通银行</t>
  </si>
  <si>
    <t>新华保险</t>
  </si>
  <si>
    <t>三六零</t>
  </si>
  <si>
    <t>兴业证券</t>
  </si>
  <si>
    <t>中国中铁</t>
  </si>
  <si>
    <t>工商银行</t>
  </si>
  <si>
    <t>国联证券</t>
  </si>
  <si>
    <t>中国铝业</t>
  </si>
  <si>
    <t>中国太保</t>
  </si>
  <si>
    <t>上海医药</t>
  </si>
  <si>
    <t>明阳智能</t>
  </si>
  <si>
    <t>中国中冶</t>
  </si>
  <si>
    <t>中国人寿</t>
  </si>
  <si>
    <t>长城汽车</t>
  </si>
  <si>
    <t>旗滨集团</t>
  </si>
  <si>
    <t>邮储银行</t>
  </si>
  <si>
    <t>中国建筑</t>
  </si>
  <si>
    <t>中国电建</t>
  </si>
  <si>
    <t>华泰证券</t>
  </si>
  <si>
    <t>拓普集团</t>
  </si>
  <si>
    <t>中银证券</t>
  </si>
  <si>
    <t>中国电信</t>
  </si>
  <si>
    <t>中国中车</t>
  </si>
  <si>
    <t>光大证券</t>
  </si>
  <si>
    <t>中国交建</t>
  </si>
  <si>
    <t>光大银行</t>
  </si>
  <si>
    <t>成都银行</t>
  </si>
  <si>
    <t>中国石油</t>
  </si>
  <si>
    <t>中国能建</t>
  </si>
  <si>
    <t>招商轮船</t>
  </si>
  <si>
    <t>正泰电器</t>
  </si>
  <si>
    <t>浙商证券</t>
  </si>
  <si>
    <t>中国银河</t>
  </si>
  <si>
    <t>中国中免</t>
  </si>
  <si>
    <t>紫金矿业</t>
  </si>
  <si>
    <t>中远海控</t>
  </si>
  <si>
    <t>建设银行</t>
  </si>
  <si>
    <t>中国核电</t>
  </si>
  <si>
    <t>中国银行</t>
  </si>
  <si>
    <t>中国重工</t>
  </si>
  <si>
    <t>中金公司</t>
  </si>
  <si>
    <t>中科曙光</t>
  </si>
  <si>
    <t>和邦生物</t>
  </si>
  <si>
    <t>弘元绿能</t>
  </si>
  <si>
    <t>药明康德</t>
  </si>
  <si>
    <t>合盛硅业</t>
  </si>
  <si>
    <t>海天味业</t>
  </si>
  <si>
    <t>斯达半导</t>
  </si>
  <si>
    <t>安井食品</t>
  </si>
  <si>
    <t>今世缘</t>
  </si>
  <si>
    <t>万泰生物</t>
  </si>
  <si>
    <t>科沃斯</t>
  </si>
  <si>
    <t>韦尔股份</t>
  </si>
  <si>
    <t>绝味食品</t>
  </si>
  <si>
    <t>口子窖</t>
  </si>
  <si>
    <t>珀莱雅</t>
  </si>
  <si>
    <t>东方电缆</t>
  </si>
  <si>
    <t>璞泰来</t>
  </si>
  <si>
    <t>石英股份</t>
  </si>
  <si>
    <t>华友钴业</t>
  </si>
  <si>
    <t>福斯特</t>
  </si>
  <si>
    <t>金域医学</t>
  </si>
  <si>
    <t>兆易创新</t>
  </si>
  <si>
    <t>洛阳钼业</t>
  </si>
  <si>
    <t>德业股份</t>
  </si>
  <si>
    <t>立昂微</t>
  </si>
  <si>
    <t>容百科技</t>
  </si>
  <si>
    <t>澜起科技</t>
  </si>
  <si>
    <t>中微公司</t>
  </si>
  <si>
    <t>派能科技</t>
  </si>
  <si>
    <t>金山办公</t>
  </si>
  <si>
    <t>西部超导</t>
  </si>
  <si>
    <t>君实生物-U</t>
  </si>
  <si>
    <t>晶科能源</t>
  </si>
  <si>
    <t>大全能源</t>
  </si>
  <si>
    <t>华熙生物</t>
  </si>
  <si>
    <t>固德威</t>
  </si>
  <si>
    <t>天合光能</t>
  </si>
  <si>
    <t>中芯国际</t>
  </si>
  <si>
    <t>中国证券金融股份有限公司</t>
  </si>
  <si>
    <t>大家人寿保险股份有限公司-万能产品</t>
  </si>
  <si>
    <t>武钢集团有限公司</t>
  </si>
  <si>
    <t>中国电力国际发展有限公司</t>
  </si>
  <si>
    <t>云南省能源投资集团有限公司</t>
  </si>
  <si>
    <t>中国中信有限公司</t>
  </si>
  <si>
    <t>泰康人寿保险有限责任公司-分红-个人分红-019L-FH002沪</t>
  </si>
  <si>
    <t>中国人寿保险股份有限公司-传统-普通保险产品-005L-CT001沪</t>
  </si>
  <si>
    <t>通用天方药业集团有限公司</t>
  </si>
  <si>
    <t>中国工商银行股份有限公司-中欧医疗健康混合型证券投资基金</t>
  </si>
  <si>
    <t>新疆宏联创业投资有限公司</t>
  </si>
  <si>
    <t>中国远洋海运集团有限公司</t>
  </si>
  <si>
    <t>嘉鑫有限公司</t>
  </si>
  <si>
    <t>CARLSBERG CHONGQING LIMITED</t>
  </si>
  <si>
    <t>浙江金帆达生化股份有限公司</t>
  </si>
  <si>
    <t>中船海洋与防务装备股份有限公司</t>
  </si>
  <si>
    <t>袁志敏</t>
  </si>
  <si>
    <t>振石控股集团有限公司</t>
  </si>
  <si>
    <t>西藏达远企业管理有限公司</t>
  </si>
  <si>
    <t>烟台中诚投资股份有限公司</t>
  </si>
  <si>
    <t>恒力集团有限公司</t>
  </si>
  <si>
    <t>深圳市福田投资控股有限公司</t>
  </si>
  <si>
    <t>王富济</t>
  </si>
  <si>
    <t>崔根良</t>
  </si>
  <si>
    <t>广东联塑科技实业有限公司</t>
  </si>
  <si>
    <t>周明华</t>
  </si>
  <si>
    <t>芯电半导体(上海)有限公司</t>
  </si>
  <si>
    <t>上海用友科技咨询有限公司</t>
  </si>
  <si>
    <t>青岛啤酒集团有限公司</t>
  </si>
  <si>
    <t>三益发展有限公司</t>
  </si>
  <si>
    <t>海尔卡奥斯股份有限公司</t>
  </si>
  <si>
    <t>珠海横琴舜和企业管理合伙企业(有限合伙)</t>
  </si>
  <si>
    <t>无锡国联产业投资有限公司-无锡国联集成电路投资中心(有限合伙)</t>
  </si>
  <si>
    <t>中国华融资产管理股份有限公司</t>
  </si>
  <si>
    <t>中国贵州航空工业(集团)有限责任公司</t>
  </si>
  <si>
    <t>GRAND METROPOLITAN INTERNATIONAL HOLDINGS LIMITED</t>
  </si>
  <si>
    <t>華創鑫睿(香港)有限公司</t>
  </si>
  <si>
    <t>上海国盛(集团)有限公司</t>
  </si>
  <si>
    <t>三胞集团南京投资管理有限公司</t>
  </si>
  <si>
    <t>中山润田投资有限公司</t>
  </si>
  <si>
    <t>北京隆慧投资有限公司-隆慧汇晨战略投资私募证券投资基金</t>
  </si>
  <si>
    <t>宁波朋泽贸易有限公司</t>
  </si>
  <si>
    <t>呼和浩特投资有限责任公司</t>
  </si>
  <si>
    <t>航发基金管理有限公司-北京国发航空发动机产业投资基金中心(有限合伙)</t>
  </si>
  <si>
    <t>都城伟业集团有限公司</t>
  </si>
  <si>
    <t>江苏凤凰出版传媒集团有限公司</t>
  </si>
  <si>
    <t>红狮控股集团有限公司</t>
  </si>
  <si>
    <t>王建华</t>
  </si>
  <si>
    <t>东毅国际集团有限公司</t>
  </si>
  <si>
    <t>深圳市集盛投资发展有限公司</t>
  </si>
  <si>
    <t>南京紫金投资集团有限责任公司</t>
  </si>
  <si>
    <t>李振国</t>
  </si>
  <si>
    <t>申诺科技(香港)有限公司</t>
  </si>
  <si>
    <t>国泰航空有限公司</t>
  </si>
  <si>
    <t>北京市基础设施投资有限公司</t>
  </si>
  <si>
    <t>富泰华工业(深圳)有限公司</t>
  </si>
  <si>
    <t>常州德润咨询管理有限公司</t>
  </si>
  <si>
    <t>中国烟草总公司</t>
  </si>
  <si>
    <t>北京市国有资产经营有限责任公司</t>
  </si>
  <si>
    <t>深圳市投资控股有限公司</t>
  </si>
  <si>
    <t>香港上海汇丰银行有限公司</t>
  </si>
  <si>
    <t>胡欢</t>
  </si>
  <si>
    <t>福建省投资开发集团有限责任公司</t>
  </si>
  <si>
    <t>明阳新能源投资控股集团有限公司</t>
  </si>
  <si>
    <t>俞其兵</t>
  </si>
  <si>
    <t>太平人寿保险有限公司-传统-普通保险产品-022L-CT001沪</t>
  </si>
  <si>
    <t>中国石油集团资本有限责任公司</t>
  </si>
  <si>
    <t>中国光大控股有限公司</t>
  </si>
  <si>
    <t>Hong Leong Bank Berhad</t>
  </si>
  <si>
    <t>浙江正泰新能源投资有限公司</t>
  </si>
  <si>
    <t>台州市金融投资集团有限公司</t>
  </si>
  <si>
    <t>浙江浙能电力股份有限公司</t>
  </si>
  <si>
    <t>大连船舶投资控股有限公司</t>
  </si>
  <si>
    <t>北京思科智控股有限责任公司</t>
  </si>
  <si>
    <t>四川省盐业总公司</t>
  </si>
  <si>
    <t>杭虹</t>
  </si>
  <si>
    <t>罗燚</t>
  </si>
  <si>
    <t>庞康</t>
  </si>
  <si>
    <t>浙江兴得利纺织有限公司</t>
  </si>
  <si>
    <t>周素明</t>
  </si>
  <si>
    <t>钟睒睒</t>
  </si>
  <si>
    <t>EVER GROUP  CORPORATION LIMITED</t>
  </si>
  <si>
    <t>上海慧功企业发展合伙企业(有限合伙)</t>
  </si>
  <si>
    <t>刘安省</t>
  </si>
  <si>
    <t>袁黎雨</t>
  </si>
  <si>
    <t>宁波胜越创业投资合伙企业(有限合伙)</t>
  </si>
  <si>
    <t>富腾发展有限公司</t>
  </si>
  <si>
    <t>林建华</t>
  </si>
  <si>
    <t>洛阳矿业集团有限公司</t>
  </si>
  <si>
    <t>张和君</t>
  </si>
  <si>
    <t>衢州泓祥企业管理合伙企业(有限合伙)</t>
  </si>
  <si>
    <t>北京容百新能源投资发展有限公司</t>
  </si>
  <si>
    <t>INTEL CAPITAL CORPORATION</t>
  </si>
  <si>
    <t>巽鑫(上海)投资有限公司</t>
  </si>
  <si>
    <t>派锂(厦门)科技合伙企业(有限合伙)</t>
  </si>
  <si>
    <t>中信金属股份有限公司</t>
  </si>
  <si>
    <t>熊俊</t>
  </si>
  <si>
    <t>上饶市佳瑞企业发展中心(有限合伙)</t>
  </si>
  <si>
    <t>深创投红土股权投资管理(深圳)有限公司-深创投制造业转型升级新材料基金(有限合伙)</t>
  </si>
  <si>
    <t>国寿成达(上海)健康产业股权投资中心(有限合伙)</t>
  </si>
  <si>
    <t>卢红萍</t>
  </si>
  <si>
    <t>江苏盘基投资有限公司</t>
  </si>
  <si>
    <t>大唐控股(香港)投资有限公司</t>
  </si>
  <si>
    <t>上海国有资本投资有限公司</t>
  </si>
  <si>
    <t>大家人寿保险股份有限公司-传统产品</t>
  </si>
  <si>
    <t>云南合和(集团)股份有限公司</t>
  </si>
  <si>
    <t>山东发展投资控股集团有限公司</t>
  </si>
  <si>
    <t>广州越秀资本控股集团有限公司</t>
  </si>
  <si>
    <t>梁稳根</t>
  </si>
  <si>
    <t>中国国有企业结构调整基金股份有限公司</t>
  </si>
  <si>
    <t>中国航天科工集团有限公司</t>
  </si>
  <si>
    <t>杨建忠</t>
  </si>
  <si>
    <t>伍文彬</t>
  </si>
  <si>
    <t>跃进汽车集团有限公司</t>
  </si>
  <si>
    <t>中信证券-华融瑞通股权投资管理有限公司-中信证券-长风单一资产管理计划</t>
  </si>
  <si>
    <t>兴业银行股份有限公司-工银瑞信文体产业股票型证券投资基金</t>
  </si>
  <si>
    <t>广州国寿城市发展产业投资企业(有限合伙)</t>
  </si>
  <si>
    <t>恒力集团-西南证券-21恒力E1担保及信托财产专户</t>
  </si>
  <si>
    <t>富德生命人寿保险股份有限公司-万能G</t>
  </si>
  <si>
    <t>国网电力科学研究院有限公司</t>
  </si>
  <si>
    <t>全国社保基金一零六组合</t>
  </si>
  <si>
    <t>漳州市国有资本运营集团有限公司</t>
  </si>
  <si>
    <t>中国人寿资管-中国银行-国寿资产-优势甄选2108保险资产管理产品</t>
  </si>
  <si>
    <t>卢勤</t>
  </si>
  <si>
    <t>山东黄金资源开发有限公司</t>
  </si>
  <si>
    <t>蒋建圣</t>
  </si>
  <si>
    <t>海尔集团公司</t>
  </si>
  <si>
    <t>和谐天明投资管理(北京)有限公司-义乌奇光股权投资合伙企业(有限合伙)</t>
  </si>
  <si>
    <t>珠海融林股权投资合伙企业(有限合伙)</t>
  </si>
  <si>
    <t>全国社保基金六零一组合</t>
  </si>
  <si>
    <t>金城集团有限公司</t>
  </si>
  <si>
    <t>鲍正梁</t>
  </si>
  <si>
    <t>中航工业产融控股股份有限公司</t>
  </si>
  <si>
    <t>上海海烟投资管理有限公司</t>
  </si>
  <si>
    <t>北京国有资本运营管理有限公司</t>
  </si>
  <si>
    <t>胡继军</t>
  </si>
  <si>
    <t>全国社保基金一一三组合</t>
  </si>
  <si>
    <t>宁波市鄞州捷伦投资有限公司</t>
  </si>
  <si>
    <t>潘刚</t>
  </si>
  <si>
    <t>三峡集团-中信证券-18三峡EB担保及信托财产专户</t>
  </si>
  <si>
    <t>三峡资本控股有限责任公司</t>
  </si>
  <si>
    <t>华泰证券股份有限公司</t>
  </si>
  <si>
    <t>杭州市城市建设投资集团有限公司</t>
  </si>
  <si>
    <t>中国国有企业混合所有制改革基金有限公司</t>
  </si>
  <si>
    <t>全国社保基金一一八组合</t>
  </si>
  <si>
    <t>党彦宝</t>
  </si>
  <si>
    <t>南京高科股份有限公司</t>
  </si>
  <si>
    <t>李喜燕</t>
  </si>
  <si>
    <t>宁波恒屹投资有限公司</t>
  </si>
  <si>
    <t>北京能源集团有限责任公司</t>
  </si>
  <si>
    <t>Ambit Microsystems (Cayman) Ltd.</t>
  </si>
  <si>
    <t>中国人民财产保险股份有限公司-传统-普通保险产品-008C-CT001沪</t>
  </si>
  <si>
    <t>广州汇垠天粤股权投资基金管理有限公司</t>
  </si>
  <si>
    <t>全国社会保障基金理事会</t>
  </si>
  <si>
    <t>周鸿祎</t>
  </si>
  <si>
    <t>上海申新(集团)有限公司</t>
  </si>
  <si>
    <t>国联信托股份有限公司</t>
  </si>
  <si>
    <t>华宝投资有限公司</t>
  </si>
  <si>
    <t>云南白药集团股份有限公司</t>
  </si>
  <si>
    <t>WISER TYSON INVESTMENT CORP LIMITED</t>
  </si>
  <si>
    <t>中国石油天然气集团有限公司</t>
  </si>
  <si>
    <t>中国移动通信集团有限公司</t>
  </si>
  <si>
    <t>江苏交通控股有限公司</t>
  </si>
  <si>
    <t>上海睿扬投资管理有限公司-睿扬新兴成长私募证券投资基金</t>
  </si>
  <si>
    <t>江西铜业股份有限公司</t>
  </si>
  <si>
    <t>广东省广晟控股集团有限公司</t>
  </si>
  <si>
    <t>华侨城集团有限公司</t>
  </si>
  <si>
    <t>成都产业资本控股集团有限公司</t>
  </si>
  <si>
    <t>中国国新控股有限责任公司</t>
  </si>
  <si>
    <t>南存辉</t>
  </si>
  <si>
    <t>西子联合控股有限公司</t>
  </si>
  <si>
    <t>中国国有资本风险投资基金股份有限公司</t>
  </si>
  <si>
    <t>海尔集团(青岛)金盈控股有限公司</t>
  </si>
  <si>
    <t>历军</t>
  </si>
  <si>
    <t>贺正刚</t>
  </si>
  <si>
    <t>无锡弘元鼎创投资企业(有限合伙)</t>
  </si>
  <si>
    <t>G&amp;C VI Limited</t>
  </si>
  <si>
    <t>罗烨栋</t>
  </si>
  <si>
    <t>涟水今生缘贸易有限公司</t>
  </si>
  <si>
    <t>邱子欣</t>
  </si>
  <si>
    <t>苏州创袖投资中心(有限合伙)</t>
  </si>
  <si>
    <t>绍兴市韦豪股权投资基金合伙企业(有限合伙)</t>
  </si>
  <si>
    <t>中国银行股份有限公司-招商中证白酒指数分级证券投资基金</t>
  </si>
  <si>
    <t>方玉友</t>
  </si>
  <si>
    <t>南阳阔能企业管理合伙企业(有限合伙)</t>
  </si>
  <si>
    <t>陈雪华</t>
  </si>
  <si>
    <t>国创开元股权投资基金(有限合伙)</t>
  </si>
  <si>
    <t>InfoGrid Limited</t>
  </si>
  <si>
    <t>宁波利时信息科技有限公司</t>
  </si>
  <si>
    <t>招商银行股份有限公司-华夏上证科创板50成份交易型开放式指数证券投资基金</t>
  </si>
  <si>
    <t>永春天汇科技投资股份有限公司</t>
  </si>
  <si>
    <t>上海檀英投资合伙企业(有限合伙)</t>
  </si>
  <si>
    <t>上饶市润嘉企业管理发展中心(有限合伙)</t>
  </si>
  <si>
    <t>重庆大全新能源有限公司</t>
  </si>
  <si>
    <t>兴银成长资本管理有限公司</t>
  </si>
  <si>
    <t>鑫芯(香港)投资有限公司</t>
  </si>
  <si>
    <t>招商财富资产-光大银行-内蒙古华宸实业有限公司</t>
  </si>
  <si>
    <t>河北建设投资集团有限责任公司</t>
  </si>
  <si>
    <t>同方国信投资控股有限公司</t>
  </si>
  <si>
    <t>太原钢铁(集团)有限公司</t>
  </si>
  <si>
    <t>中国长江电力股份有限公司</t>
  </si>
  <si>
    <t>云南能投资本投资有限公司</t>
  </si>
  <si>
    <t>中央汇金资产管理有限责任公司</t>
  </si>
  <si>
    <t>深圳市腾讯信达有限合伙企业(有限合伙)</t>
  </si>
  <si>
    <t>中国农业银行股份有限公司-中证500交易型开放式指数证券投资基金</t>
  </si>
  <si>
    <t>上海高毅资产管理合伙企业(有限合伙)-高毅邻山1号远望基金</t>
  </si>
  <si>
    <t>博时基金-农业银行-博时中证金融资产管理计划</t>
  </si>
  <si>
    <t>中国工商银行-上证50交易型开放式指数证券投资基金</t>
  </si>
  <si>
    <t>中国建设银行股份有限公司-银华富裕主题混合型证券投资基金</t>
  </si>
  <si>
    <t>全国社保基金一一七组合</t>
  </si>
  <si>
    <t>建信金投基金管理(天津)有限公司-国新建源股权投资基金(成都)合伙企业(有限合伙)</t>
  </si>
  <si>
    <t>郑文宝</t>
  </si>
  <si>
    <t>中国对外经济贸易信托有限公司-外贸信托-高毅晓峰鸿远集合资金信托计划</t>
  </si>
  <si>
    <t>全国社保基金四一六组合</t>
  </si>
  <si>
    <t>中国医药投资有限公司</t>
  </si>
  <si>
    <t>瑞银资产管理(新加坡)有限公司-瑞银卢森堡投资SICAV</t>
  </si>
  <si>
    <t>宁波市中凯信创业投资股份有限公司</t>
  </si>
  <si>
    <t>范红卫</t>
  </si>
  <si>
    <t>东方红睿玺三年定期开放灵活配置混合型证券投资基金</t>
  </si>
  <si>
    <t>全国社保基金一一零组合</t>
  </si>
  <si>
    <t>中国建设银行股份有限公司-华夏国证半导体芯片交易型开放式指数证券投资基金</t>
  </si>
  <si>
    <t>苏州信托有限公司-苏信财富·华彩H1503单一资金信托</t>
  </si>
  <si>
    <t>新华联控股有限公司</t>
  </si>
  <si>
    <t>招商银行股份有限公司-安信医药健康主题股票型发起式证券投资基金</t>
  </si>
  <si>
    <t>山东黄金有色矿业集团有限公司</t>
  </si>
  <si>
    <t>周林根</t>
  </si>
  <si>
    <t>无锡金投领航产业升级并购投资企业(有限合伙)</t>
  </si>
  <si>
    <t>上海益倍管理咨询有限公司</t>
  </si>
  <si>
    <t>河仁慈善基金会</t>
  </si>
  <si>
    <t>全国社保基金一零一组合</t>
  </si>
  <si>
    <t>平安安赢股票型养老金产品-中国银行股份有限公司</t>
  </si>
  <si>
    <t>中国航发资产管理有限公司</t>
  </si>
  <si>
    <t>浙江存济医疗教育基金会</t>
  </si>
  <si>
    <t>光明食品(集团)有限公司</t>
  </si>
  <si>
    <t>北京京国瑞国企改革发展基金(有限合伙)</t>
  </si>
  <si>
    <t>招商银行股份有限公司-兴全合润混合型证券投资基金</t>
  </si>
  <si>
    <t>基本养老保险基金八零二组合</t>
  </si>
  <si>
    <t>杉杉控股有限公司</t>
  </si>
  <si>
    <t>贵州黎阳航空发动机有限公司</t>
  </si>
  <si>
    <t>浙能资本控股有限公司</t>
  </si>
  <si>
    <t>江苏宁沪高速公路股份有限公司</t>
  </si>
  <si>
    <t>杭州市财开投资集团有限公司</t>
  </si>
  <si>
    <t>中国石化集团资产经营管理有限公司</t>
  </si>
  <si>
    <t>国家能源集团资本控股有限公司</t>
  </si>
  <si>
    <t>上海报业集团</t>
  </si>
  <si>
    <t>北京瀚丰中兴管理咨询中心(有限合伙)</t>
  </si>
  <si>
    <t>HHLR管理有限公司-中国价值基金(交易所)</t>
  </si>
  <si>
    <t>中信证券股份有限公司</t>
  </si>
  <si>
    <t>中国航空(集团)有限公司</t>
  </si>
  <si>
    <t>城市动力(北京)投资有限公司</t>
  </si>
  <si>
    <t>富士康科技集团有限公司</t>
  </si>
  <si>
    <t>中国人民人寿保险股份有限公司-分红-个险分红</t>
  </si>
  <si>
    <t>唐亮</t>
  </si>
  <si>
    <t>广州产业投资控股集团有限公司</t>
  </si>
  <si>
    <t>无锡市国联地方电力有限公司</t>
  </si>
  <si>
    <t>中国人寿保险股份有限公司</t>
  </si>
  <si>
    <t>上海实业(集团)有限公司及其全资附属子公司及上海上实(集团)有限公司</t>
  </si>
  <si>
    <t>FIRST BASE INVESTMENTS LIMITED</t>
  </si>
  <si>
    <t>全国社保基金一一四组合</t>
  </si>
  <si>
    <t>中国国有企业结构调整基金二期股份有限公司</t>
  </si>
  <si>
    <t>江苏高科技投资集团有限公司</t>
  </si>
  <si>
    <t>邬建树</t>
  </si>
  <si>
    <t>江苏洋河酒厂股份有限公司</t>
  </si>
  <si>
    <t>浙江省财务开发有限责任公司</t>
  </si>
  <si>
    <t>全国社保基金四一四组合</t>
  </si>
  <si>
    <t>国家电网有限公司</t>
  </si>
  <si>
    <t>中国信达资产管理股份有限公司</t>
  </si>
  <si>
    <t>产业投资基金有限责任公司</t>
  </si>
  <si>
    <t>四川和邦生物科技股份有限公司-第二期员工持股计划</t>
  </si>
  <si>
    <t>中国建设银行股份有限公司-前海开源公用事业行业股票型证券投资基金</t>
  </si>
  <si>
    <t>SUMMER BLOOM INVESTMENTS(I)PTE. LTD.</t>
  </si>
  <si>
    <t>富達實業公司</t>
  </si>
  <si>
    <t>程雪</t>
  </si>
  <si>
    <t>嘉兴富瑞德投资合伙企业(有限合伙)</t>
  </si>
  <si>
    <t>涟水吉缘贸易有限公司</t>
  </si>
  <si>
    <t>邱明静</t>
  </si>
  <si>
    <t>青岛融通民和投资中心(有限合伙)</t>
  </si>
  <si>
    <t>上海成广企业发展合伙企业(有限合伙)</t>
  </si>
  <si>
    <t>宁波华夏科技投资有限公司</t>
  </si>
  <si>
    <t>陈卫</t>
  </si>
  <si>
    <t>杭州佑友企业管理合伙企业(有限合伙)</t>
  </si>
  <si>
    <t>杭州临安同德实业投资有限公司</t>
  </si>
  <si>
    <t>广州市鑫镘域投资管理合伙企业(有限合伙)</t>
  </si>
  <si>
    <t>宁波梅山保税港区亨丽投资管理合伙企业(有限合伙)</t>
  </si>
  <si>
    <t>国投创业投资管理有限公司-国投高新(深圳)创业投资基金(有限合伙)</t>
  </si>
  <si>
    <t>湖州海煜股权投资合伙企业(有限合伙)</t>
  </si>
  <si>
    <t>珠海融英股权投资合伙企业(有限合伙)</t>
  </si>
  <si>
    <t>苏州瑞源盛本生物医药管理合伙企业(有限合伙)</t>
  </si>
  <si>
    <t>上饶市卓领贰号企业发展中心(有限合伙)</t>
  </si>
  <si>
    <t>徐广福</t>
  </si>
  <si>
    <t>中国民生信托有限公司</t>
  </si>
  <si>
    <t>苏州合众聚德投资企业(有限合伙)</t>
  </si>
  <si>
    <t>北京宏禹科技合伙企业(有限合伙)</t>
  </si>
  <si>
    <t>国家集成电路产业投资基金二期股份有限公司</t>
  </si>
  <si>
    <t>中国太平洋人寿保险股份有限公司-分红-个人分红</t>
  </si>
  <si>
    <t>中国北方稀土(集团)高科技股份有限公司</t>
  </si>
  <si>
    <t>中国华能集团香港有限公司</t>
  </si>
  <si>
    <t>新希望六和投资有限公司</t>
  </si>
  <si>
    <t>广州越秀资本控股集团股份有限公司</t>
  </si>
  <si>
    <t>全国社保基金一零三组合</t>
  </si>
  <si>
    <t>深圳市晏清投资发展有限公司</t>
  </si>
  <si>
    <t>中国保利集团有限公司</t>
  </si>
  <si>
    <t>何倩嫦</t>
  </si>
  <si>
    <t>大成基金-农业银行-大成中证金融资产管理计划</t>
  </si>
  <si>
    <t>前海人寿保险股份有限公司-分红保险产品</t>
  </si>
  <si>
    <t>翟烨</t>
  </si>
  <si>
    <t>中国建设银行股份有限公司-鹏华中证酒交易型开放式指数证券投资基金</t>
  </si>
  <si>
    <t>东方证券股份有限公司-中庚价值先锋股票型证券投资基金</t>
  </si>
  <si>
    <t>上海高毅资产管理合伙企业(有限合伙)-高毅晓峰2号致信基金</t>
  </si>
  <si>
    <t>中国银行股份有限公司-招商国证生物医药指数分级证券投资基金</t>
  </si>
  <si>
    <t>青岛博森泰投资合伙企业(有限合伙)</t>
  </si>
  <si>
    <t>科威特政府投资局-自有资金</t>
  </si>
  <si>
    <t>Prime Partner International Limited</t>
  </si>
  <si>
    <t>德诚利国际集团有限公司</t>
  </si>
  <si>
    <t>富德生命人寿保险股份有限公司-分红</t>
  </si>
  <si>
    <t>沈国荣</t>
  </si>
  <si>
    <t>东方红启恒三年持有期混合型证券投资基金</t>
  </si>
  <si>
    <t>招商银行股份有限公司-睿远成长价值混合型证券投资基金</t>
  </si>
  <si>
    <t>陈向东</t>
  </si>
  <si>
    <t>边程</t>
  </si>
  <si>
    <t>中国工商银行股份有限公司-融通健康产业灵活配置混合型证券投资基金</t>
  </si>
  <si>
    <t>北京用友企业管理研究所有限公司</t>
  </si>
  <si>
    <t>中国农业银行股份有限公司-易方达消费行业股票型证券投资基金</t>
  </si>
  <si>
    <t>HCH (HK) INVESTMENT MANAGEMENT CO., LIMITED</t>
  </si>
  <si>
    <t>上海和谐汇一资产管理有限公司-和谐汇一远景2号私募证券投资基金</t>
  </si>
  <si>
    <t>交通银行股份有限公司-富国消费主题混合型证券投资基金</t>
  </si>
  <si>
    <t>中国建设银行股份有限公司-易方达国防军工混合型证券投资基金</t>
  </si>
  <si>
    <t>招商银行股份有限公司-泓德睿泽混合型证券投资基金</t>
  </si>
  <si>
    <t>上海电气控股集团有限公司</t>
  </si>
  <si>
    <t>兴业银行股份有限公司-广发睿毅领先混合型证券投资基金</t>
  </si>
  <si>
    <t>王爱军</t>
  </si>
  <si>
    <t>国寿养老策略4号股票型养老金产品-中国工商银行股份有限公司</t>
  </si>
  <si>
    <t>天安财产保险股份有限公司-保赢1号</t>
  </si>
  <si>
    <t>中国银行股份有限公司-易方达蓝筹精选混合型证券投资基金</t>
  </si>
  <si>
    <t>中国水利水电建设工程咨询有限公司</t>
  </si>
  <si>
    <t>无锡市建设发展投资有限公司</t>
  </si>
  <si>
    <t>Commonwealth Bank of Australia</t>
  </si>
  <si>
    <t>中国人民财产保险股份有限公司-自有资金</t>
  </si>
  <si>
    <t>中国农业银行股份有限公司-大成新锐产业混合型证券投资基金</t>
  </si>
  <si>
    <t>河北港口集团有限公司</t>
  </si>
  <si>
    <t>江苏云杉资本管理有限公司</t>
  </si>
  <si>
    <t>陈发树</t>
  </si>
  <si>
    <t>镜湖控股有限公司</t>
  </si>
  <si>
    <t>中国工商银行股份有限公司-东方红启恒三年持有期混合型证券投资基金</t>
  </si>
  <si>
    <t>北京安鹏兴业投资有限公司</t>
  </si>
  <si>
    <t>鸿富锦精密电子(郑州)有限公司</t>
  </si>
  <si>
    <t>全国社保基金一零七组合</t>
  </si>
  <si>
    <t>阳光人寿保险股份有限公司-传统保险产品</t>
  </si>
  <si>
    <t>张尧</t>
  </si>
  <si>
    <t>广州金控资产管理有限公司-广金资产财富管理优选3号私募投资基金</t>
  </si>
  <si>
    <t>商发控股有限公司</t>
  </si>
  <si>
    <t>孔凤全</t>
  </si>
  <si>
    <t>无锡民生投资有限公司</t>
  </si>
  <si>
    <t>中信证券—华融瑞通股权投资管理有限公司—中信证券—长风单一资产管理计划</t>
  </si>
  <si>
    <t>Citibank, National Association</t>
  </si>
  <si>
    <t>株洲旗滨集团股份有限公司-中长期发展计划之第四期员工持股计划</t>
  </si>
  <si>
    <t>江苏省苏豪控股集团有限公司</t>
  </si>
  <si>
    <t>宁波筑悦投资管理有限公司</t>
  </si>
  <si>
    <t>大连船舶重工集团有限公司</t>
  </si>
  <si>
    <t>中国建设银行股份有限公司-国泰中证全指证券公司交易型开放式指数证券投资基金</t>
  </si>
  <si>
    <t>兰州银行股份有限公司</t>
  </si>
  <si>
    <t>中国工商银行股份有限公司-景顺长城新兴成长混合型证券投资基金</t>
  </si>
  <si>
    <t>益嘉投资有限责任公司</t>
  </si>
  <si>
    <t>渤海造船厂集团有限公司</t>
  </si>
  <si>
    <t>聂华</t>
  </si>
  <si>
    <t>G&amp;C IV Hong Kong Limited</t>
  </si>
  <si>
    <t>罗立国</t>
  </si>
  <si>
    <t>黎旭晖</t>
  </si>
  <si>
    <t>丁京林</t>
  </si>
  <si>
    <t>苏创智慧(上海)企业管理合伙企业(有限合伙)</t>
  </si>
  <si>
    <t>上海福博企业发展合伙企业(有限合伙)</t>
  </si>
  <si>
    <t>黄绍刚</t>
  </si>
  <si>
    <t>中国建设银行股份有限公司-汇添富消费行业混合型证券投资基金</t>
  </si>
  <si>
    <t>宁波经济技术开发区金帆投资有限公司</t>
  </si>
  <si>
    <t>中国建设银行股份有限公司-华夏能源革新股票型证券投资基金</t>
  </si>
  <si>
    <t>中国民生银行股份有限公司-广发行业严选三年持有期混合型证券投资基金</t>
  </si>
  <si>
    <t>葛卫东</t>
  </si>
  <si>
    <t>中信建投证券-中国华融资产管理股份有限公司-中信建投-先锋单一资产管理计划</t>
  </si>
  <si>
    <t>上海浦东发展银行股份有限公司-广发高端制造股票型发起式证券投资基金</t>
  </si>
  <si>
    <t>衢州泓万企业管理合伙企业(有限合伙)</t>
  </si>
  <si>
    <t>共青城容诚投资管理合伙企业(有限合伙)</t>
  </si>
  <si>
    <t>上海晢牂企业管理合伙企业(有限合伙)</t>
  </si>
  <si>
    <t>西安工业投资集团有限公司</t>
  </si>
  <si>
    <t>熊凤祥</t>
  </si>
  <si>
    <t>上饶市卓群企业发展中心(有限合伙)</t>
  </si>
  <si>
    <t>徐翔</t>
  </si>
  <si>
    <t>天津华杰海河医疗投资合伙企业(有限合伙)</t>
  </si>
  <si>
    <t>郑加炫</t>
  </si>
  <si>
    <t>内蒙古包钢钢联股份有限公司回购专用证券账户</t>
  </si>
  <si>
    <t>中国泛海控股集团有限公司</t>
  </si>
  <si>
    <t>中国建设银行股份有限公司-招商3年封闭运作瑞利灵活配置混合型证券投资基金</t>
  </si>
  <si>
    <t>华美国际投资集团有限公司</t>
  </si>
  <si>
    <t>杭州阿里创业投资有限公司</t>
  </si>
  <si>
    <t>通用技术集团医药控股有限公司</t>
  </si>
  <si>
    <t>姚冲</t>
  </si>
  <si>
    <t>中国建设银行股份有限公司-工银瑞信前沿医疗股票型证券投资基金</t>
  </si>
  <si>
    <t>工银瑞信基金-农业银行-工银瑞信中证金融资产管理计划</t>
  </si>
  <si>
    <t>国寿安保基金-中国人寿保险股份有限公司-分红险-国寿安保基金国寿股份均衡股票型组合单一资产管理计划(可供出售)</t>
  </si>
  <si>
    <t>中国太平洋人寿保险股份有限公司-传统-普通保险产品</t>
  </si>
  <si>
    <t>北京东富国创投资管理中心(有限合伙)</t>
  </si>
  <si>
    <t>招商银行股份有限公司-上证红利交易型开放式指数证券投资基金</t>
  </si>
  <si>
    <t>中国建设银行股份有限公司-诺德价值优势混合型证券投资基金</t>
  </si>
  <si>
    <t>富国天惠精选成长混合型证券投资基金(LOF)</t>
  </si>
  <si>
    <t>中国银行股份有限公司-华泰柏瑞中证光伏产业交易型开放式指数证券投资基金</t>
  </si>
  <si>
    <t>国泰君安证券股份有限公司-国联安中证全指半导体产品与设备交易型开放式指数证券投资基金</t>
  </si>
  <si>
    <t>广东省铁路发展基金有限责任公司</t>
  </si>
  <si>
    <t>彭政纲</t>
  </si>
  <si>
    <t>HHLR管理有限公司-HHLR中国基金</t>
  </si>
  <si>
    <t>共青城优富投资管理合伙企业(有限合伙)</t>
  </si>
  <si>
    <t>白永丽</t>
  </si>
  <si>
    <t>中国工商银行股份有限公司-中证上海国企交易型开放式指数证券投资基金</t>
  </si>
  <si>
    <t>新华人寿保险股份有限公司-分红-个人分红-018L-FH002沪</t>
  </si>
  <si>
    <t>中国航发资产管理有限公司-2022年面向专业投资者非公开发行可交换公司债券质押专户</t>
  </si>
  <si>
    <t>中国工商银行股份有限公司-中欧医疗创新股票型证券投资基金</t>
  </si>
  <si>
    <t>山西杏花村国际贸易有限责任公司</t>
  </si>
  <si>
    <t>梁宇博</t>
  </si>
  <si>
    <t>中国农业银行股份有限公司-交银施罗德先进制造混合型证券投资基金</t>
  </si>
  <si>
    <t>赵成霞</t>
  </si>
  <si>
    <t>国家军民融合产业投资基金有限责任公司</t>
  </si>
  <si>
    <t>珠海融朗投资管理合伙企业(有限合伙)</t>
  </si>
  <si>
    <t>杭州市交通投资集团有限公司</t>
  </si>
  <si>
    <t>国新发展投资管理有限公司</t>
  </si>
  <si>
    <t>国新投资有限公司</t>
  </si>
  <si>
    <t>全国社保基金一一二组合</t>
  </si>
  <si>
    <t>胡亦对</t>
  </si>
  <si>
    <t>中交资本控股有限公司</t>
  </si>
  <si>
    <t>中国烟草总公司江苏省公司(江苏省烟草公司)</t>
  </si>
  <si>
    <t>李春安</t>
  </si>
  <si>
    <t>西藏腾云投资管理有限公司</t>
  </si>
  <si>
    <t>中国人寿保险股份有限公司-分红-个人分红-005L-FH002沪</t>
  </si>
  <si>
    <t>GIC PRIVATE LIMITED</t>
  </si>
  <si>
    <t>中国航空油料集团有限公司</t>
  </si>
  <si>
    <t>刘长羽</t>
  </si>
  <si>
    <t>中国银行股份有限公司-富兰克林国海中小盘股票型证券投资基金</t>
  </si>
  <si>
    <t>上海城投(集团)有限公司</t>
  </si>
  <si>
    <t>陕西有色金属控股集团有限责任公司</t>
  </si>
  <si>
    <t>普星聚能股份公司</t>
  </si>
  <si>
    <t>国信证券股份有限公司-方正富邦中证保险主题指数型证券投资基金</t>
  </si>
  <si>
    <t>首都机场集团有限公司</t>
  </si>
  <si>
    <t>华域汽车系统股份有限公司</t>
  </si>
  <si>
    <t>无锡一棉纺织集团有限公司</t>
  </si>
  <si>
    <t>KEYCORP LIMITED</t>
  </si>
  <si>
    <t>交通银行股份有限公司-广发中证基建工程交易型开放式指数证券投资基金</t>
  </si>
  <si>
    <t>俞勇</t>
  </si>
  <si>
    <t>全国社保基金四一三组合</t>
  </si>
  <si>
    <t>阿里巴巴(中国)网络技术有限公司</t>
  </si>
  <si>
    <t>云南省投资控股集团有限公司</t>
  </si>
  <si>
    <t>中国人寿再保险有限责任公司</t>
  </si>
  <si>
    <t>北京诚通金控投资有限公司</t>
  </si>
  <si>
    <t>中国建设银行股份有限公司-华宝中证全指证券公司交易型开放式指数证券投资基金</t>
  </si>
  <si>
    <t>梁瑞安</t>
  </si>
  <si>
    <t>高盛国际-自有资金</t>
  </si>
  <si>
    <t>MUFG Bank, Ltd.</t>
  </si>
  <si>
    <t>武汉武船投资控股有限公司</t>
  </si>
  <si>
    <t>杜梅</t>
  </si>
  <si>
    <t>高序磊</t>
  </si>
  <si>
    <t>中国工商银行股份有限公司-前海开源新经济灵活配置混合型证券投资基金</t>
  </si>
  <si>
    <t>北京中民银孚投资管理有限公司-嘉兴宇祥投资合伙企业(有限合伙)</t>
  </si>
  <si>
    <t>潘来灿</t>
  </si>
  <si>
    <t>天安人寿保险股份有限公司-传统产品</t>
  </si>
  <si>
    <t>SKY SURE LIMITED</t>
  </si>
  <si>
    <t>中国工商银行股份有限公司-诺安成长混合型证券投资基金</t>
  </si>
  <si>
    <t>林芝腾讯科技有限公司</t>
  </si>
  <si>
    <t>范博</t>
  </si>
  <si>
    <t>安本亚洲有限公司-安本标准-中国A股股票基金</t>
  </si>
  <si>
    <t>招商银行股份有限公司-银华心佳两年持有期混合型证券投资基金</t>
  </si>
  <si>
    <t>齐晓东</t>
  </si>
  <si>
    <t>中国邮政储蓄银行有限责任公司-东方增长中小盘混合型开放式证券投资基金</t>
  </si>
  <si>
    <t>聯意(香港)有限公司</t>
  </si>
  <si>
    <t>中国工商银行股份有限公司-广发鑫享灵活配置混合型证券投资基金</t>
  </si>
  <si>
    <t>招商银行股份有限公司-兴全合泰混合型证券投资基金</t>
  </si>
  <si>
    <t>UBS AG</t>
  </si>
  <si>
    <t>周玉清</t>
  </si>
  <si>
    <t>西藏云尚股权投资基金管理有限公司-宁波榕欣投资合伙企业(有限合伙)</t>
  </si>
  <si>
    <t>ZHANG LONGGEN</t>
  </si>
  <si>
    <t>WEST SUPREME LIMITED</t>
  </si>
  <si>
    <t>方刚</t>
  </si>
  <si>
    <t>中国信息通信科技集团有限公司</t>
  </si>
  <si>
    <t>上海健特生命科技有限公司</t>
  </si>
  <si>
    <t>广发基金-农业银行-广发中证金融资产管理计划</t>
  </si>
  <si>
    <t>和谐健康保险股份有限公司-传统-普通保险产品</t>
  </si>
  <si>
    <t>苏宁易购集团股份有限公司</t>
  </si>
  <si>
    <t>李洪滨</t>
  </si>
  <si>
    <t>上海高毅资产管理合伙企业(有限合伙)-高毅利伟精选唯实基金</t>
  </si>
  <si>
    <t>上海汽车集团股份有限公司回购专用证券账户</t>
  </si>
  <si>
    <t>广发基金管理有限公司-社保基金四二零组合</t>
  </si>
  <si>
    <t>浙江巨化投资有限公司</t>
  </si>
  <si>
    <t>全国社保基金四零一组合</t>
  </si>
  <si>
    <t>汇添富基金管理股份有限公司-社保基金16032组合</t>
  </si>
  <si>
    <t>中国建设银行股份有限公司-易方达沪深300医药卫生交易型开放式指数证券投资基金</t>
  </si>
  <si>
    <t>连云港市金融控股集团有限公司</t>
  </si>
  <si>
    <t>中信创业投资(上海)有限公司</t>
  </si>
  <si>
    <t>华夏基金-农业银行-华夏中证金融资产管理计划</t>
  </si>
  <si>
    <t>玄元私募基金投资管理(广东)有限公司-玄元元宝16号私募证券投资基金</t>
  </si>
  <si>
    <t>基本养老保险基金一五零二二组合</t>
  </si>
  <si>
    <t>漳州市交通发展集团有限公司</t>
  </si>
  <si>
    <t>杨林</t>
  </si>
  <si>
    <t>苏州信托有限公司-苏信财富·华彩H1402单一资金信托</t>
  </si>
  <si>
    <t>中国工商银行股份有限公司-中欧时代先锋股票型发起式证券投资基金</t>
  </si>
  <si>
    <t>刘曙峰</t>
  </si>
  <si>
    <t>中国银行股份有限公司-国泰CES半导体芯片行业交易型开放式指数证券投资基金</t>
  </si>
  <si>
    <t>中国工商银行—上证50交易型开放式指数证券投资基金</t>
  </si>
  <si>
    <t>刘世强</t>
  </si>
  <si>
    <t>青岛海尔创业投资咨询有限公司</t>
  </si>
  <si>
    <t>INVESCO FUNDS SICAV</t>
  </si>
  <si>
    <t>中航工业机电系统股份有限公司</t>
  </si>
  <si>
    <t>中国银行股份有限公司-广发医疗保健股票型证券投资基金</t>
  </si>
  <si>
    <t>北京信升创卓投资管理中心(有限合伙)</t>
  </si>
  <si>
    <t>招商银行股份有限公司-兴全合宜灵活配置混合型证券投资基金(LOF)</t>
  </si>
  <si>
    <t>百联集团有限公司</t>
  </si>
  <si>
    <t>刘春海</t>
  </si>
  <si>
    <t>贵州乌江能源投资有限公司</t>
  </si>
  <si>
    <t>江苏省广播电视集团有限公司</t>
  </si>
  <si>
    <t>杭州汽轮动力集团股份有限公司</t>
  </si>
  <si>
    <t>国网英大国际控股集团有限公司</t>
  </si>
  <si>
    <t>张龙</t>
  </si>
  <si>
    <t>幸福人寿保险股份有限公司-自有</t>
  </si>
  <si>
    <t>钟宝申</t>
  </si>
  <si>
    <t>阿布达比投资局</t>
  </si>
  <si>
    <t>宁波长阳实业控股有限公司</t>
  </si>
  <si>
    <t>Argyle Holdings Limited</t>
  </si>
  <si>
    <t>中国民生银行股份有限公司-嘉实新财富灵活配置混合型证券投资基金</t>
  </si>
  <si>
    <t>中国平安保险(集团)股份有限公司长期服务计划</t>
  </si>
  <si>
    <t>鹏华基金管理有限公司-社保基金16051组合</t>
  </si>
  <si>
    <t>国泰中证全指证券公司交易型开放式指数证券投资基金</t>
  </si>
  <si>
    <t>中国东方资产管理股份有限公司</t>
  </si>
  <si>
    <t>无锡华光环保能源集团股份有限公司</t>
  </si>
  <si>
    <t>包头铝业(集团)有限责任公司</t>
  </si>
  <si>
    <t>上海国盛(集团)有限公司及上海盛睿投资有限公司及上海国盛集团资产有限公司</t>
  </si>
  <si>
    <t>全国社保基金一零二组合</t>
  </si>
  <si>
    <t>株洲旗滨集团股份有限公司-事业合伙人持股计划</t>
  </si>
  <si>
    <t>上海国际港务(集团)股份有限公司</t>
  </si>
  <si>
    <t>国泰君安资产管理(亚洲)有限公司-国泰君安国际大中华专户1号</t>
  </si>
  <si>
    <t>中国农业银行股份有限公司-前海开源中国稀缺资产灵活配置混合型证券投资基金</t>
  </si>
  <si>
    <t>朱信敏</t>
  </si>
  <si>
    <t>浙江华川实业集团有限公司</t>
  </si>
  <si>
    <t>中央企业乡村产业投资基金股份有限公司</t>
  </si>
  <si>
    <t>中国太平洋人寿保险股份有限公司-中国太平洋人寿股票红利型产品(寿自营)委托投资(长江养老)</t>
  </si>
  <si>
    <t>张仲华</t>
  </si>
  <si>
    <t>任娟</t>
  </si>
  <si>
    <t>徐公明</t>
  </si>
  <si>
    <t>G&amp;C V Limited</t>
  </si>
  <si>
    <t>美勤(香港)有限公司</t>
  </si>
  <si>
    <t>铭基国际投资公司-MATTHEWS  ASIA FUNDS(US)</t>
  </si>
  <si>
    <t>上海铭大实业(集团)有限公司</t>
  </si>
  <si>
    <t>洪维岗</t>
  </si>
  <si>
    <t>交通银行股份有限公司-易方达上证50指数增强型证券投资基金</t>
  </si>
  <si>
    <t>宁波市虞仁荣教育基金会</t>
  </si>
  <si>
    <t>朱成寅</t>
  </si>
  <si>
    <t>招商银行股份有限公司-银华心怡灵活配置混合型证券投资基金</t>
  </si>
  <si>
    <t>招商银行股份有限公司-银河创新成长混合型证券投资基金</t>
  </si>
  <si>
    <t>周玉平</t>
  </si>
  <si>
    <t>恽菁</t>
  </si>
  <si>
    <t>兴资睿盈(平潭)资产管理有限公司-福州经济技术开发区兴睿和盛股权投资合伙企业(有限合伙)</t>
  </si>
  <si>
    <t>施大峰</t>
  </si>
  <si>
    <t>辽宁能源投资(集团)有限责任公司</t>
  </si>
  <si>
    <t>华夏人寿保险股份有限公司-万能保险产品</t>
  </si>
  <si>
    <t>北京首熙投资管理有限公司</t>
  </si>
  <si>
    <t>国信证券股份有限公司</t>
  </si>
  <si>
    <t>深圳市楚源投资发展有限公司</t>
  </si>
  <si>
    <t>嘉兴小度投资管理有限公司-宁波梅山保税港区百度鹏寰投资合伙企业(有限合伙)</t>
  </si>
  <si>
    <t>王金生</t>
  </si>
  <si>
    <t>林建国</t>
  </si>
  <si>
    <t>上海胜帮私募基金管理有限公司-共青城胜帮凯米投资合伙企业(有限合伙)</t>
  </si>
  <si>
    <t>中国建设银行股份有限公司-嘉实中证稀土产业交易型开放式指数证券投资基金</t>
  </si>
  <si>
    <t>钟兵</t>
  </si>
  <si>
    <t>交银金融资产投资有限公司</t>
  </si>
  <si>
    <t>汇添富基金-中国人寿保险股份有限公司-分红险-汇添富基金国寿股份均衡股票型组合单一资产管理计划(可供出售)</t>
  </si>
  <si>
    <t>基本养老保险基金八零八组合</t>
  </si>
  <si>
    <t>平安银行股份有限公司-招商核心竞争力混合型证券投资基金</t>
  </si>
  <si>
    <t>中欧基金-农业银行-中欧中证金融资产管理计划</t>
  </si>
  <si>
    <t>玄元私募基金投资管理(广东)有限公司-玄元元宝15号私募证券投资基金</t>
  </si>
  <si>
    <t>中国人寿保险(集团)公司-传统-普通保险产品-港股通(创新策略)</t>
  </si>
  <si>
    <t>国电电力发展股份有限公司</t>
  </si>
  <si>
    <t>全国社保基金一零八组合</t>
  </si>
  <si>
    <t>福建漳龙集团有限公司</t>
  </si>
  <si>
    <t>中国人寿资管-兴业银行-国寿资产-优势甄选2110保险资产管理产品</t>
  </si>
  <si>
    <t>范伟宏</t>
  </si>
  <si>
    <t>中国银行股份有限公司-嘉实领先优势混合型证券投资基金</t>
  </si>
  <si>
    <t>王咏梅</t>
  </si>
  <si>
    <t>郭宏伟</t>
  </si>
  <si>
    <t>福建省耀华工业村开发有限公司</t>
  </si>
  <si>
    <t>青岛海创智管理咨询企业(有限合伙)</t>
  </si>
  <si>
    <t>中国建设银行股份有限公司-富国价值创造混合型证券投资基金</t>
  </si>
  <si>
    <t>中国工商银行股份有限公司-富国军工主题混合型证券投资基金</t>
  </si>
  <si>
    <t>中国银行股份有限公司-华宝中证医疗交易型开放式指数证券投资基金</t>
  </si>
  <si>
    <t>周启增</t>
  </si>
  <si>
    <t>上海国盛集团资产有限公司</t>
  </si>
  <si>
    <t>中国建设银行股份有限公司-广发价值领先混合型证券投资基金</t>
  </si>
  <si>
    <t>金石新能源投资(深圳)合伙企业(有限合伙)</t>
  </si>
  <si>
    <t>苏州国际发展集团有限公司</t>
  </si>
  <si>
    <t>苏州苏高新科技产业发展有限公司</t>
  </si>
  <si>
    <t>建信理财有限责任公司-建信理财“诚鑫”多元配置混合类最低持有2年开放式产品</t>
  </si>
  <si>
    <t>中国银行股份有限公司-易方达供给改革灵活配置混合型证券投资基金</t>
  </si>
  <si>
    <t>福建贵安新天地旅游文化投资有限公司</t>
  </si>
  <si>
    <t>华夏人寿保险股份有限公司-自有资金</t>
  </si>
  <si>
    <t>浙江瑞五能源科技有限公司</t>
  </si>
  <si>
    <t>Joy Even Holdings Limited</t>
  </si>
  <si>
    <t>龙松书</t>
  </si>
  <si>
    <t>深圳能源集团股份有限公司</t>
  </si>
  <si>
    <t>全国社保基金一零九组合</t>
  </si>
  <si>
    <t>广州轻工工贸集团有限公司</t>
  </si>
  <si>
    <t>深业集团有限公司</t>
  </si>
  <si>
    <t>招商银行股份有限公司-华安安进灵活配置混合型发起式证券投资基金</t>
  </si>
  <si>
    <t>科华天元(天津)商业运营管理有限公司</t>
  </si>
  <si>
    <t>福建省融资担保有限责任公司</t>
  </si>
  <si>
    <t>中国长城资产管理股份有限公司</t>
  </si>
  <si>
    <t>太平人寿保险有限公司</t>
  </si>
  <si>
    <t>中信建投证券—中国华融资产管理股份有限公司—中信建投—先锋单一资产管理计划</t>
  </si>
  <si>
    <t>银华基金-农业银行-银华中证金融资产管理计划</t>
  </si>
  <si>
    <t>厦门博惠蕴成投资合伙企业(有限合伙)</t>
  </si>
  <si>
    <t>中国国际电视总公司</t>
  </si>
  <si>
    <t>中国工商银行股份有限公司-广发双擎升级混合型证券投资基金</t>
  </si>
  <si>
    <t>博时基金管理有限公司-社保基金16012组合</t>
  </si>
  <si>
    <t>易方达基金管理有限公司-社保基金1104组合</t>
  </si>
  <si>
    <t>宁波银行股份有限公司-中泰星元价值优选灵活配置混合型证券投资基金</t>
  </si>
  <si>
    <t>全国社保基金五零四组合</t>
  </si>
  <si>
    <t>中国再保险(集团)股份有限公司</t>
  </si>
  <si>
    <t>博时基金-鞍钢集团有限公司-博时基金鑫安1号单-资产管理计划</t>
  </si>
  <si>
    <t>闫小虎</t>
  </si>
  <si>
    <t>中国工商银行股份有限公司-华夏核心制造混合型证券投资基金</t>
  </si>
  <si>
    <t>TREASURE BAY INVESTMENTS LIMITED</t>
  </si>
  <si>
    <t>绍兴市产业发展集团有限公司</t>
  </si>
  <si>
    <t>中山金融投资控股有限公司</t>
  </si>
  <si>
    <t>光大金瓯资产管理有限公司</t>
  </si>
  <si>
    <t>中核产业基金管理有限公司-中核(浙江)新兴产业股权投资基金(有限合伙)</t>
  </si>
  <si>
    <t>赵勇</t>
  </si>
  <si>
    <t>杨昊</t>
  </si>
  <si>
    <t>太平人寿保险有限公司-分红-个险分红</t>
  </si>
  <si>
    <t>赖建平</t>
  </si>
  <si>
    <t>国投招商投资管理有限公司-先进制造产业投资基金二期(有限合伙)</t>
  </si>
  <si>
    <t>倪从春</t>
  </si>
  <si>
    <t>中意资管-工商银行-中意资产-优势企业30号资产管理产品</t>
  </si>
  <si>
    <t>易方达基金-中央汇金资产管理有限责任公司-易方达基金-汇金资管单一资产管理计划</t>
  </si>
  <si>
    <t>元禾璞华同芯(苏州)投资管理有限公司-合肥元禾华创中合股权投资合伙企业(有限合伙)</t>
  </si>
  <si>
    <t>基本养老保险基金一六零三二组合</t>
  </si>
  <si>
    <t>徐钦祥</t>
  </si>
  <si>
    <t>中国工商银行股份有限公司-汇添富消费升级混合型证券投资基金</t>
  </si>
  <si>
    <t>基本养老保险基金一二零六组合</t>
  </si>
  <si>
    <t>中国农业银行股份有限公司-国泰智能汽车股票型证券投资基金</t>
  </si>
  <si>
    <t>中国建设银行股份有限公司-易方达创新驱动灵活配置混合型证券投资基金</t>
  </si>
  <si>
    <t>宁波杉杉创业投资有限公司</t>
  </si>
  <si>
    <t>陆亚珠</t>
  </si>
  <si>
    <t>王式跃</t>
  </si>
  <si>
    <t>北京容百新能源投资管理有限公司</t>
  </si>
  <si>
    <t>共青城新维投资合伙企业(有限合伙)</t>
  </si>
  <si>
    <t>冯辉</t>
  </si>
  <si>
    <t>上饶市卓领企业发展中心(有限合伙)</t>
  </si>
  <si>
    <t>Fortune Ace Investment Limited</t>
  </si>
  <si>
    <t>中国工商银行股份有限公司-易方达上证科创板50成份交易型开放式指数证券投资基金</t>
  </si>
  <si>
    <t>马来西亚国家银行</t>
  </si>
  <si>
    <t>国泰君安证券股份有限公司约定购回式证券交易专用证券账户</t>
  </si>
  <si>
    <t>中国船东互保协会</t>
  </si>
  <si>
    <t>上海重阳战略投资有限公司-重阳战略才智基金</t>
  </si>
  <si>
    <t>南方基金-农业银行-南方中证金融资产管理计划</t>
  </si>
  <si>
    <t>泰康人寿保险有限责任公司-传统-普通保险产品-019L-CT001沪</t>
  </si>
  <si>
    <t>宿迁京东三弘企业管理中心(有限合伙)</t>
  </si>
  <si>
    <t>蒋国语</t>
  </si>
  <si>
    <t>张斌</t>
  </si>
  <si>
    <t>中国银行股份有限公司-工银瑞信医疗保健行业股票型证券投资基金</t>
  </si>
  <si>
    <t>嘉实基金-农业银行-嘉实中证金融资产管理计划</t>
  </si>
  <si>
    <t>郑洪朱</t>
  </si>
  <si>
    <t>郑钟南</t>
  </si>
  <si>
    <t>中船投资发展有限公司</t>
  </si>
  <si>
    <t>基本养老保险基金一二零五组合</t>
  </si>
  <si>
    <t>招商证券股份有限公司-建信中小盘先锋股票型证券投资基金</t>
  </si>
  <si>
    <t>大连市国有资产投资经营集团有限公司</t>
  </si>
  <si>
    <t>中国建设银行股份有限公司-中欧价值发现股票型证券投资基金</t>
  </si>
  <si>
    <t>福建漳州城投集团有限公司</t>
  </si>
  <si>
    <t>上海浦东发展银行股份有限公司-景顺长城新能源产业股票型证券投资基金</t>
  </si>
  <si>
    <t>全国社保基金一一六组合</t>
  </si>
  <si>
    <t>浙江华海药业股份有限公司回购专用证券账户</t>
  </si>
  <si>
    <t>李东璘</t>
  </si>
  <si>
    <t>山东黄金集团青岛黄金有限公司</t>
  </si>
  <si>
    <t>陈鸿</t>
  </si>
  <si>
    <t>上海浦东发展银行股份有限公司-中欧创新未来18个月封闭运作混合型证券投资基金</t>
  </si>
  <si>
    <t>用友网络科技股份有限公司回购专用证券账户</t>
  </si>
  <si>
    <t>李海清</t>
  </si>
  <si>
    <t>ALIBABA INVESTMENT LIMITED</t>
  </si>
  <si>
    <t>中国农业银行股份有限公司-大成睿享混合型证券投资基金</t>
  </si>
  <si>
    <t>中国工商银行股份有限公司-财通资管价值成长混合型证券投资基金</t>
  </si>
  <si>
    <t>中航机载系统有限公司</t>
  </si>
  <si>
    <t>招商银行股份有限公司-中欧阿尔法混合型证券投资基金</t>
  </si>
  <si>
    <t>成都市金牛国鑫粮油购销有限责任公司</t>
  </si>
  <si>
    <t>上海久事(集团)有限公司</t>
  </si>
  <si>
    <t>中国工商银行股份有限公司-富国天惠精选成长混合型证券投资基金(LOF)</t>
  </si>
  <si>
    <t>梅花生物科技集团股份有限公司-2022年员工持股计划</t>
  </si>
  <si>
    <t>和谐健康保险股份有限公司-万能产品</t>
  </si>
  <si>
    <t>杭州河合电器股份有限公司</t>
  </si>
  <si>
    <t>中邮人寿保险股份有限公司-传统保险产品</t>
  </si>
  <si>
    <t>上海金桥出口加工区开发股份有限公司</t>
  </si>
  <si>
    <t>中远海运(广州)有限公司</t>
  </si>
  <si>
    <t>陕西煤业股份有限公司</t>
  </si>
  <si>
    <t>陈宗敬</t>
  </si>
  <si>
    <t>深圳市恒创誉峰咨询管理合伙企业(有限合伙)</t>
  </si>
  <si>
    <t>中国银行股份有限公司-招商沪深300地产等权重指数分级证券投资基金</t>
  </si>
  <si>
    <t>中国人民人寿保险股份有限公司-万能-个险万能</t>
  </si>
  <si>
    <t>信泰人寿保险股份有限公司-自有资金</t>
  </si>
  <si>
    <t>刘晓燕</t>
  </si>
  <si>
    <t>袁河</t>
  </si>
  <si>
    <t>Plenty Ace Investments (SPV) Limited</t>
  </si>
  <si>
    <t>平安资管-工商银行-平安资产鑫享27号资产管理产品</t>
  </si>
  <si>
    <t>胡茂响</t>
  </si>
  <si>
    <t>江苏新纺实业股份有限公司</t>
  </si>
  <si>
    <t>中国对外经济贸易信托有限公司—外贸信托—高毅晓峰鸿远集合资金信托计划</t>
  </si>
  <si>
    <t>广东恒阔投资管理有限公司</t>
  </si>
  <si>
    <t>中国建设银行股份有限公司-广发科技先锋混合型证券投资基金</t>
  </si>
  <si>
    <t>全国社保基金六零四组合</t>
  </si>
  <si>
    <t>江苏苏豪国际集团股份有限公司</t>
  </si>
  <si>
    <t>中国工商银行股份有限公司-前海开源国家比较优势灵活配置混合型证券投资基金</t>
  </si>
  <si>
    <t>华为技术有限公司</t>
  </si>
  <si>
    <t>易方达基金-农业银行-易方达中证金融资产管理计划</t>
  </si>
  <si>
    <t>中国农业银行股份有限公司-中邮核心成长混合型证券投资基金</t>
  </si>
  <si>
    <t>HUADIAN FUXIN INTERNATIONAL INVESTMENT COMPANY LIMITED</t>
  </si>
  <si>
    <t>中国农业银行股份有限公司-鹏华可转债债券型证券投资基金</t>
  </si>
  <si>
    <t>义乌市金瑞投资有限公司</t>
  </si>
  <si>
    <t>嘉兴市高等级公路投资有限公司</t>
  </si>
  <si>
    <t>中国银行股份有限公司-景顺长城鼎益混合型证券投资基金(LOF)</t>
  </si>
  <si>
    <t>申万宏源证券有限公司</t>
  </si>
  <si>
    <t>大家资产-工商银行-大家资产-蓝筹精选5号集合资产管理产品</t>
  </si>
  <si>
    <t>宁波乾弘久盛资产管理合伙企业(有限合伙)-乾弘悦享多策略一期私募证券投资基金</t>
  </si>
  <si>
    <t>黄文彪</t>
  </si>
  <si>
    <t>羊栋</t>
  </si>
  <si>
    <t>李莎燕</t>
  </si>
  <si>
    <t>上海科毓赢企业管理合伙企业(有限合伙)</t>
  </si>
  <si>
    <t>上海唐芯企业管理合伙企业(有限合伙)</t>
  </si>
  <si>
    <t>周图亮</t>
  </si>
  <si>
    <t>曹良国</t>
  </si>
  <si>
    <t>中国工商银行股份有限公司-农银汇理新能源主题灵活配置混合型证券投资基金</t>
  </si>
  <si>
    <t>代德明</t>
  </si>
  <si>
    <t>宁波梅山保税港区德派投资管理合伙企业(有限合伙)</t>
  </si>
  <si>
    <t>韦中总</t>
  </si>
  <si>
    <t>北京容百新能源科技投资管理有限公司</t>
  </si>
  <si>
    <t>扬州派能企业管理合伙企业(有限合伙)</t>
  </si>
  <si>
    <t>兴业国信资产管理有限公司-嘉兴晶能投资合伙企业(有限合伙)</t>
  </si>
  <si>
    <t>芜湖信达降杠杆投资管理合伙企业(有限合伙)</t>
  </si>
  <si>
    <t>卢进军</t>
  </si>
  <si>
    <t>MORGAN STANLEY &amp; CO. INTERNATIONAL PLC.</t>
  </si>
  <si>
    <t>大连市城市建设投资集团有限公司</t>
  </si>
  <si>
    <t>东方集团股份有限公司</t>
  </si>
  <si>
    <t>上海重阳战略投资有限公司-重阳战略英智基金</t>
  </si>
  <si>
    <t>中国工商银行股份有限公司-华安安信消费服务混合型证券投资基金</t>
  </si>
  <si>
    <t>谌贺飞</t>
  </si>
  <si>
    <t>向文波</t>
  </si>
  <si>
    <t>兴业银行股份有限公司-兴全趋势投资混合型证券投资基金</t>
  </si>
  <si>
    <t>深圳光启互联技术投资合伙企业(有限合伙)</t>
  </si>
  <si>
    <t>贾凤芹</t>
  </si>
  <si>
    <t>张瑞</t>
  </si>
  <si>
    <t>全国社保基金五零三组合</t>
  </si>
  <si>
    <t>王启帆</t>
  </si>
  <si>
    <t>中国工商银行股份有限公司-华泰柏瑞沪深300交易型开放式指数证券投资基金</t>
  </si>
  <si>
    <t>深圳市榕树投资管理有限公司-榕树新能源二期私募证券投资基金</t>
  </si>
  <si>
    <t>国华军民融合产业发展基金管理有限公司-国华军民融合产业发展基金(有限合伙)</t>
  </si>
  <si>
    <t>中国工商银行股份有限公司-易方达新经济灵活配置混合型证券投资基金</t>
  </si>
  <si>
    <t>中国工商银行股份有限公司-国泰中证煤炭交易型开放式指数证券投资基金</t>
  </si>
  <si>
    <t>玄元私募基金投资管理(广东)有限公司-玄元元宝17号私募证券投资基金</t>
  </si>
  <si>
    <t>漳州市国有资产投资经营有限公司</t>
  </si>
  <si>
    <t>大成基金-华能信托·嘉月7号单一资金信托-大成基金卓越2号单一资产管理计划</t>
  </si>
  <si>
    <t>景顺长城基金-中国人寿保险股份有限公司-分红险-景顺长城基金国寿股份成长股票型组合单一资产管理计划(可供出售)</t>
  </si>
  <si>
    <t>毛慧苏</t>
  </si>
  <si>
    <t>招商银行股份有限公司-兴业收益增强债券型证券投资基金</t>
  </si>
  <si>
    <t>山东省国有资产投资控股有限公司</t>
  </si>
  <si>
    <t>安徽海螺创业投资有限责任公司</t>
  </si>
  <si>
    <t>交通银行股份有限公司-万家行业优选混合型证券投资基金(LOF)</t>
  </si>
  <si>
    <t>李福清</t>
  </si>
  <si>
    <t>中国对外经济贸易信托有限公司-外贸信托-仁桥泽源股票私募证券投资基金</t>
  </si>
  <si>
    <t>平安基金-中国平安人寿保险股份有限公司-平安人寿-平安基金权益委托投资1号单一资产管理计划</t>
  </si>
  <si>
    <t>中国建设银行股份有限公司-富国中证军工龙头交易型开放式指数证券投资基金</t>
  </si>
  <si>
    <t>上海百联集团股份有限公司</t>
  </si>
  <si>
    <t>杨维永</t>
  </si>
  <si>
    <t>中国工商银行股份有限公司-汇添富中证新能源汽车产业指数型发起式证券投资基金(LOF)</t>
  </si>
  <si>
    <t>沈阳盛京金控投资集团有限公司</t>
  </si>
  <si>
    <t>湖北长江招银产业基金管理有限公司-湖北长江招银成长股权投资合伙企业(有限合伙)</t>
  </si>
  <si>
    <t>江苏凤凰资产管理有限责任公司</t>
  </si>
  <si>
    <t>苏州新区高新技术产业股份有限公司</t>
  </si>
  <si>
    <t>广发证券股份有限公司-大成睿景灵活配置混合型证券投资基金</t>
  </si>
  <si>
    <t>中信证券-中信银行-中信证券卓越成长两年持有期混合型集合资产管理计划</t>
  </si>
  <si>
    <t>紫金信托有限责任公司</t>
  </si>
  <si>
    <t>中国中金财富证券有限公司</t>
  </si>
  <si>
    <t>珠海市瑞丰汇邦资产管理有限公司-瑞丰汇邦三号私募证券投资基金</t>
  </si>
  <si>
    <t>方锦超</t>
  </si>
  <si>
    <t>深超光电(深圳)有限公司</t>
  </si>
  <si>
    <t>中信证券股份有限公司-社保基金1106组合</t>
  </si>
  <si>
    <t>北京联东投资(集团)有限公司</t>
  </si>
  <si>
    <t>中国核工业集团资本控股有限公司</t>
  </si>
  <si>
    <t>孙鹏远</t>
  </si>
  <si>
    <t>中国建设银行股份有限公司-广发中证全指汽车指数型发起式证券投资基金</t>
  </si>
  <si>
    <t>中维资本控股股份有限公司</t>
  </si>
  <si>
    <t>邱家俊</t>
  </si>
  <si>
    <t>一汽股权投资(天津)有限公司</t>
  </si>
  <si>
    <t>华宝中证全指证券公司交易型开放式指数证券投资基金</t>
  </si>
  <si>
    <t>无锡金鸿通信集团有限公司</t>
  </si>
  <si>
    <t>上海高毅资产管理合伙企业(有限合伙)—高毅晓峰2号致信基金</t>
  </si>
  <si>
    <t>ETERNITY PEACE COMPANY LIMITED</t>
  </si>
  <si>
    <t>中车资本控股有限公司</t>
  </si>
  <si>
    <t>江苏宏图高科技股份有限公司</t>
  </si>
  <si>
    <t>华能贵诚信托有限公司</t>
  </si>
  <si>
    <t>信泰人寿保险股份有限公司-传统产品</t>
  </si>
  <si>
    <t>施爱忠</t>
  </si>
  <si>
    <t>中国农业银行股份有限公司-大成景阳领先混合型证券投资基金</t>
  </si>
  <si>
    <t>华安证券股份有限公司</t>
  </si>
  <si>
    <t>上海华氏资产经营有限公司</t>
  </si>
  <si>
    <t>上海高毅资产管理合伙企业(有限合伙)-高毅-晓峰1号睿远证券投资基金</t>
  </si>
  <si>
    <t>茂名凯雷投资管理有限公司</t>
  </si>
  <si>
    <t>光大证券股份有限公司</t>
  </si>
  <si>
    <t>葛贵莲</t>
  </si>
  <si>
    <t>蔡黎鸿</t>
  </si>
  <si>
    <t>G&amp;C VII Limited</t>
  </si>
  <si>
    <t>张永明</t>
  </si>
  <si>
    <t>吴振兴</t>
  </si>
  <si>
    <t>吴建峰</t>
  </si>
  <si>
    <t>严迎娣</t>
  </si>
  <si>
    <t>冷泠</t>
  </si>
  <si>
    <t>Seagull Strategic Investments(A3), LLC</t>
  </si>
  <si>
    <t>唐颖</t>
  </si>
  <si>
    <t>段炼</t>
  </si>
  <si>
    <t>J. P. Morgan Securities PLC-自有资金</t>
  </si>
  <si>
    <t>交通银行股份有限公司-富国天益价值混合型证券投资基金</t>
  </si>
  <si>
    <t>中国建设银行股份有限公司-信澳新能源产业股票型证券投资基金</t>
  </si>
  <si>
    <t>中国银行股份有限公司-国投瑞银新能源混合型证券投资基金</t>
  </si>
  <si>
    <t>交通银行股份有限公司-易方达竞争优势企业混合型证券投资基金</t>
  </si>
  <si>
    <t>银华基金-中国人寿保险股份有限公司-传统险-银华基金国寿股份成长股票传统可供出售单一资产管理计划</t>
  </si>
  <si>
    <t>贾银凤</t>
  </si>
  <si>
    <t>遵义容百新能源投资中心(有限合伙)</t>
  </si>
  <si>
    <t>王振花</t>
  </si>
  <si>
    <t>西藏云尚股权投资基金管理有限公司-共青城云晶投资合伙企业(有限合伙)</t>
  </si>
  <si>
    <t>艾睿思(天津)医疗投资合伙企业(有限合伙)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</si>
</sst>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82"/>
  <sheetViews>
    <sheetView tabSelected="1" workbookViewId="0"/>
  </sheetViews>
  <sheetFormatPr defaultRowHeight="13.5" x14ac:dyDescent="0.15"/>
  <sheetData>
    <row r="1" spans="1:12" ht="94.5" x14ac:dyDescent="0.15">
      <c r="A1" s="1" t="s">
        <v>0</v>
      </c>
      <c r="B1" s="1" t="s">
        <v>182</v>
      </c>
      <c r="C1" s="2" t="s">
        <v>184</v>
      </c>
      <c r="D1" s="2" t="s">
        <v>185</v>
      </c>
      <c r="E1" s="2" t="s">
        <v>186</v>
      </c>
      <c r="F1" s="2" t="s">
        <v>187</v>
      </c>
      <c r="G1" s="2" t="s">
        <v>188</v>
      </c>
      <c r="H1" s="2" t="s">
        <v>189</v>
      </c>
      <c r="I1" s="2" t="s">
        <v>190</v>
      </c>
      <c r="J1" s="2" t="s">
        <v>191</v>
      </c>
      <c r="K1" s="2" t="s">
        <v>192</v>
      </c>
      <c r="L1" s="2" t="s">
        <v>193</v>
      </c>
    </row>
    <row r="2" spans="1:12" x14ac:dyDescent="0.15">
      <c r="A2" s="1" t="s">
        <v>1</v>
      </c>
      <c r="B2" s="1" t="s">
        <v>183</v>
      </c>
      <c r="C2" s="1" t="s">
        <v>194</v>
      </c>
      <c r="D2" s="1" t="s">
        <v>194</v>
      </c>
      <c r="E2" s="1" t="s">
        <v>194</v>
      </c>
      <c r="F2" s="1" t="s">
        <v>194</v>
      </c>
      <c r="G2" s="1" t="s">
        <v>194</v>
      </c>
      <c r="H2" s="1" t="s">
        <v>194</v>
      </c>
      <c r="I2" s="1" t="s">
        <v>194</v>
      </c>
      <c r="J2" s="1" t="s">
        <v>194</v>
      </c>
      <c r="K2" s="1" t="s">
        <v>194</v>
      </c>
      <c r="L2" s="1" t="s">
        <v>194</v>
      </c>
    </row>
    <row r="3" spans="1:12" x14ac:dyDescent="0.15">
      <c r="A3" s="1" t="s">
        <v>2</v>
      </c>
      <c r="B3" s="1" t="str">
        <f>[1]!WSS($A$3:$A$182,$C$2:$C$2,"tradeDate=20230701","order=1","ShowParams=Y","ShowBlank=NA","cols=1;rows=180")</f>
        <v>浦发银行</v>
      </c>
      <c r="C3" s="1" t="s">
        <v>195</v>
      </c>
      <c r="D3" s="1" t="str">
        <f>[1]!WSS($A$3:$A$182,$D$2:$D$2,"tradeDate=20230701","order=2","ShowCodes=N","ShowParams=Y","ShowBlank=NA","cols=1;rows=180")</f>
        <v>中国移动通信集团广东有限公司</v>
      </c>
      <c r="E3" s="1" t="str">
        <f>[1]!WSS($A$3:$A$182,$E$2:$E$2,"tradeDate=20230701","order=3","ShowCodes=N","ShowParams=Y","ShowBlank=NA","cols=1;rows=180")</f>
        <v>富德生命人寿保险股份有限公司-传统</v>
      </c>
      <c r="F3" s="1" t="str">
        <f>[1]!WSS($A$3:$A$182,$F$2:$F$2,"tradeDate=20230701","order=4","ShowCodes=N","ShowParams=Y","ShowBlank=NA","cols=1;rows=180")</f>
        <v>富德生命人寿保险股份有限公司-资本金</v>
      </c>
      <c r="G3" s="1" t="str">
        <f>[1]!WSS($A$3:$A$182,$G$2:$G$2,"tradeDate=20230701","order=5","ShowCodes=N","ShowParams=Y","ShowBlank=NA","cols=1;rows=180")</f>
        <v>上海上国投资产管理有限公司</v>
      </c>
      <c r="H3" s="1" t="str">
        <f>[1]!WSS($A$3:$A$182,$H$2:$H$2,"tradeDate=20230701","order=6","ShowCodes=N","ShowParams=Y","ShowBlank=NA","cols=1;rows=180")</f>
        <v>富德生命人寿保险股份有限公司-万能H</v>
      </c>
      <c r="I3" s="1" t="str">
        <f>[1]!WSS($A$3:$A$182,$I$2:$I$2,"tradeDate=20230701","order=7","ShowCodes=N","ShowParams=Y","ShowBlank=NA","cols=1;rows=180")</f>
        <v>中国证券金融股份有限公司</v>
      </c>
      <c r="J3" s="1" t="str">
        <f>[1]!WSS($A$3:$A$182,$J$2:$J$2,"tradeDate=20230701","order=8","ShowCodes=N","ShowParams=Y","ShowBlank=NA","cols=1;rows=180")</f>
        <v>上海国鑫投资发展有限公司</v>
      </c>
      <c r="K3" s="1" t="str">
        <f>[1]!WSS($A$3:$A$182,$K$2:$K$2,"tradeDate=20230701","order=9","ShowCodes=N","ShowParams=Y","ShowBlank=NA","cols=1;rows=180")</f>
        <v>香港中央结算有限公司(陆股通)</v>
      </c>
      <c r="L3" s="1" t="str">
        <f>[1]!WSS($A$3:$A$182,$L$2:$L$2,"tradeDate=20230701","order=10","ShowCodes=N","ShowParams=Y","ShowBlank=NA","cols=1;rows=180")</f>
        <v>中央汇金资产管理有限责任公司</v>
      </c>
    </row>
    <row r="4" spans="1:12" x14ac:dyDescent="0.15">
      <c r="A4" s="1" t="s">
        <v>3</v>
      </c>
      <c r="B4" s="1" t="s">
        <v>352</v>
      </c>
      <c r="C4" s="1" t="s">
        <v>196</v>
      </c>
      <c r="D4" s="1" t="s">
        <v>258</v>
      </c>
      <c r="E4" s="1" t="s">
        <v>634</v>
      </c>
      <c r="F4" s="1" t="s">
        <v>531</v>
      </c>
      <c r="G4" s="1" t="s">
        <v>825</v>
      </c>
      <c r="H4" s="1" t="s">
        <v>733</v>
      </c>
      <c r="I4" s="1" t="s">
        <v>941</v>
      </c>
      <c r="J4" s="1" t="s">
        <v>1060</v>
      </c>
      <c r="K4" s="1" t="s">
        <v>1181</v>
      </c>
      <c r="L4" s="1" t="s">
        <v>1268</v>
      </c>
    </row>
    <row r="5" spans="1:12" x14ac:dyDescent="0.15">
      <c r="A5" s="1" t="s">
        <v>4</v>
      </c>
      <c r="B5" s="1" t="s">
        <v>353</v>
      </c>
      <c r="C5" s="1" t="s">
        <v>197</v>
      </c>
      <c r="D5" s="1" t="s">
        <v>531</v>
      </c>
      <c r="E5" s="1" t="s">
        <v>258</v>
      </c>
      <c r="F5" s="1" t="s">
        <v>727</v>
      </c>
      <c r="G5" s="1" t="s">
        <v>826</v>
      </c>
      <c r="H5" s="1" t="s">
        <v>919</v>
      </c>
      <c r="I5" s="1" t="s">
        <v>738</v>
      </c>
      <c r="J5" s="1" t="s">
        <v>737</v>
      </c>
      <c r="K5" s="1" t="s">
        <v>834</v>
      </c>
      <c r="L5" s="1" t="s">
        <v>1242</v>
      </c>
    </row>
    <row r="6" spans="1:12" x14ac:dyDescent="0.15">
      <c r="A6" s="1" t="s">
        <v>5</v>
      </c>
      <c r="B6" s="1" t="s">
        <v>354</v>
      </c>
      <c r="C6" s="1" t="s">
        <v>198</v>
      </c>
      <c r="D6" s="1" t="s">
        <v>199</v>
      </c>
      <c r="E6" s="1" t="s">
        <v>202</v>
      </c>
      <c r="F6" s="1" t="s">
        <v>728</v>
      </c>
      <c r="G6" s="1" t="s">
        <v>827</v>
      </c>
      <c r="H6" s="1" t="s">
        <v>531</v>
      </c>
      <c r="I6" s="1" t="s">
        <v>298</v>
      </c>
      <c r="J6" s="1" t="s">
        <v>1086</v>
      </c>
      <c r="K6" s="1" t="s">
        <v>1182</v>
      </c>
      <c r="L6" s="1" t="s">
        <v>1269</v>
      </c>
    </row>
    <row r="7" spans="1:12" x14ac:dyDescent="0.15">
      <c r="A7" s="1" t="s">
        <v>6</v>
      </c>
      <c r="B7" s="1" t="s">
        <v>355</v>
      </c>
      <c r="C7" s="1" t="s">
        <v>199</v>
      </c>
      <c r="D7" s="1" t="s">
        <v>532</v>
      </c>
      <c r="E7" s="1" t="s">
        <v>635</v>
      </c>
      <c r="F7" s="1" t="s">
        <v>729</v>
      </c>
      <c r="G7" s="1" t="s">
        <v>828</v>
      </c>
      <c r="H7" s="1" t="s">
        <v>920</v>
      </c>
      <c r="I7" s="1" t="s">
        <v>1009</v>
      </c>
      <c r="J7" s="1" t="s">
        <v>1087</v>
      </c>
      <c r="K7" s="1" t="s">
        <v>1183</v>
      </c>
      <c r="L7" s="1" t="s">
        <v>1270</v>
      </c>
    </row>
    <row r="8" spans="1:12" x14ac:dyDescent="0.15">
      <c r="A8" s="1" t="s">
        <v>7</v>
      </c>
      <c r="B8" s="1" t="s">
        <v>356</v>
      </c>
      <c r="C8" s="1" t="s">
        <v>200</v>
      </c>
      <c r="D8" s="1" t="s">
        <v>533</v>
      </c>
      <c r="E8" s="1" t="s">
        <v>258</v>
      </c>
      <c r="F8" s="1" t="s">
        <v>730</v>
      </c>
      <c r="G8" s="1" t="s">
        <v>691</v>
      </c>
      <c r="H8" s="1" t="s">
        <v>531</v>
      </c>
      <c r="I8" s="1" t="s">
        <v>733</v>
      </c>
      <c r="J8" s="1" t="s">
        <v>1088</v>
      </c>
      <c r="K8" s="1" t="s">
        <v>1184</v>
      </c>
      <c r="L8" s="1" t="s">
        <v>1271</v>
      </c>
    </row>
    <row r="9" spans="1:12" x14ac:dyDescent="0.15">
      <c r="A9" s="1" t="s">
        <v>8</v>
      </c>
      <c r="B9" s="1" t="s">
        <v>357</v>
      </c>
      <c r="C9" s="1" t="s">
        <v>201</v>
      </c>
      <c r="D9" s="1" t="s">
        <v>534</v>
      </c>
      <c r="E9" s="1" t="s">
        <v>260</v>
      </c>
      <c r="F9" s="1" t="s">
        <v>731</v>
      </c>
      <c r="G9" s="1" t="s">
        <v>733</v>
      </c>
      <c r="H9" s="1" t="s">
        <v>258</v>
      </c>
      <c r="I9" s="1" t="s">
        <v>834</v>
      </c>
      <c r="J9" s="1" t="s">
        <v>1010</v>
      </c>
      <c r="K9" s="1" t="s">
        <v>1185</v>
      </c>
      <c r="L9" s="1" t="s">
        <v>1272</v>
      </c>
    </row>
    <row r="10" spans="1:12" x14ac:dyDescent="0.15">
      <c r="A10" s="1" t="s">
        <v>9</v>
      </c>
      <c r="B10" s="1" t="s">
        <v>358</v>
      </c>
      <c r="C10" s="1" t="s">
        <v>202</v>
      </c>
      <c r="D10" s="1" t="s">
        <v>535</v>
      </c>
      <c r="E10" s="1" t="s">
        <v>636</v>
      </c>
      <c r="F10" s="1" t="s">
        <v>732</v>
      </c>
      <c r="G10" s="1" t="e">
        <v>#N/A</v>
      </c>
      <c r="H10" s="1" t="e">
        <v>#N/A</v>
      </c>
      <c r="I10" s="1" t="e">
        <v>#N/A</v>
      </c>
      <c r="J10" s="1" t="e">
        <v>#N/A</v>
      </c>
      <c r="K10" s="1" t="e">
        <v>#N/A</v>
      </c>
      <c r="L10" s="1" t="e">
        <v>#N/A</v>
      </c>
    </row>
    <row r="11" spans="1:12" x14ac:dyDescent="0.15">
      <c r="A11" s="1" t="s">
        <v>10</v>
      </c>
      <c r="B11" s="1" t="s">
        <v>359</v>
      </c>
      <c r="C11" s="1" t="s">
        <v>203</v>
      </c>
      <c r="D11" s="1" t="s">
        <v>199</v>
      </c>
      <c r="E11" s="1" t="s">
        <v>542</v>
      </c>
      <c r="F11" s="1" t="s">
        <v>733</v>
      </c>
      <c r="G11" s="1" t="s">
        <v>258</v>
      </c>
      <c r="H11" s="1" t="s">
        <v>921</v>
      </c>
      <c r="I11" s="1" t="s">
        <v>1010</v>
      </c>
      <c r="J11" s="1" t="s">
        <v>830</v>
      </c>
      <c r="K11" s="1" t="s">
        <v>1151</v>
      </c>
      <c r="L11" s="1" t="s">
        <v>1191</v>
      </c>
    </row>
    <row r="12" spans="1:12" x14ac:dyDescent="0.15">
      <c r="A12" s="1" t="s">
        <v>11</v>
      </c>
      <c r="B12" s="1" t="s">
        <v>360</v>
      </c>
      <c r="C12" s="1" t="s">
        <v>204</v>
      </c>
      <c r="D12" s="1" t="s">
        <v>199</v>
      </c>
      <c r="E12" s="1" t="s">
        <v>637</v>
      </c>
      <c r="F12" s="1" t="e">
        <v>#N/A</v>
      </c>
      <c r="G12" s="1" t="e">
        <v>#N/A</v>
      </c>
      <c r="H12" s="1" t="e">
        <v>#N/A</v>
      </c>
      <c r="I12" s="1" t="e">
        <v>#N/A</v>
      </c>
      <c r="J12" s="1" t="e">
        <v>#N/A</v>
      </c>
      <c r="K12" s="1" t="e">
        <v>#N/A</v>
      </c>
      <c r="L12" s="1" t="e">
        <v>#N/A</v>
      </c>
    </row>
    <row r="13" spans="1:12" x14ac:dyDescent="0.15">
      <c r="A13" s="1" t="s">
        <v>12</v>
      </c>
      <c r="B13" s="1" t="s">
        <v>361</v>
      </c>
      <c r="C13" s="1" t="s">
        <v>205</v>
      </c>
      <c r="D13" s="1" t="s">
        <v>199</v>
      </c>
      <c r="E13" s="1" t="s">
        <v>531</v>
      </c>
      <c r="F13" s="1" t="s">
        <v>691</v>
      </c>
      <c r="G13" s="1" t="s">
        <v>258</v>
      </c>
      <c r="H13" s="1" t="s">
        <v>538</v>
      </c>
      <c r="I13" s="1" t="s">
        <v>733</v>
      </c>
      <c r="J13" s="1" t="s">
        <v>1089</v>
      </c>
      <c r="K13" s="1" t="s">
        <v>738</v>
      </c>
      <c r="L13" s="1" t="s">
        <v>1273</v>
      </c>
    </row>
    <row r="14" spans="1:12" x14ac:dyDescent="0.15">
      <c r="A14" s="1" t="s">
        <v>13</v>
      </c>
      <c r="B14" s="1" t="s">
        <v>362</v>
      </c>
      <c r="C14" s="1" t="s">
        <v>199</v>
      </c>
      <c r="D14" s="1" t="s">
        <v>536</v>
      </c>
      <c r="E14" s="1" t="s">
        <v>638</v>
      </c>
      <c r="F14" s="1" t="s">
        <v>258</v>
      </c>
      <c r="G14" s="1" t="s">
        <v>829</v>
      </c>
      <c r="H14" s="1" t="s">
        <v>890</v>
      </c>
      <c r="I14" s="1" t="s">
        <v>733</v>
      </c>
      <c r="J14" s="1" t="s">
        <v>834</v>
      </c>
      <c r="K14" s="1" t="s">
        <v>1023</v>
      </c>
      <c r="L14" s="1" t="s">
        <v>1101</v>
      </c>
    </row>
    <row r="15" spans="1:12" x14ac:dyDescent="0.15">
      <c r="A15" s="1" t="s">
        <v>14</v>
      </c>
      <c r="B15" s="1" t="s">
        <v>363</v>
      </c>
      <c r="C15" s="1" t="s">
        <v>206</v>
      </c>
      <c r="D15" s="1" t="s">
        <v>258</v>
      </c>
      <c r="E15" s="1" t="s">
        <v>639</v>
      </c>
      <c r="F15" s="1" t="s">
        <v>531</v>
      </c>
      <c r="G15" s="1" t="s">
        <v>830</v>
      </c>
      <c r="H15" s="1" t="s">
        <v>733</v>
      </c>
      <c r="I15" s="1" t="s">
        <v>789</v>
      </c>
      <c r="J15" s="1" t="s">
        <v>738</v>
      </c>
      <c r="K15" s="1" t="s">
        <v>667</v>
      </c>
      <c r="L15" s="1" t="s">
        <v>1274</v>
      </c>
    </row>
    <row r="16" spans="1:12" x14ac:dyDescent="0.15">
      <c r="A16" s="1" t="s">
        <v>15</v>
      </c>
      <c r="B16" s="1" t="s">
        <v>364</v>
      </c>
      <c r="C16" s="1" t="s">
        <v>199</v>
      </c>
      <c r="D16" s="1" t="s">
        <v>308</v>
      </c>
      <c r="E16" s="1" t="s">
        <v>258</v>
      </c>
      <c r="F16" s="1" t="s">
        <v>314</v>
      </c>
      <c r="G16" s="1" t="s">
        <v>831</v>
      </c>
      <c r="H16" s="1" t="s">
        <v>268</v>
      </c>
      <c r="I16" s="1" t="s">
        <v>1011</v>
      </c>
      <c r="J16" s="1" t="s">
        <v>1090</v>
      </c>
      <c r="K16" s="1" t="s">
        <v>532</v>
      </c>
      <c r="L16" s="1" t="s">
        <v>1222</v>
      </c>
    </row>
    <row r="17" spans="1:12" x14ac:dyDescent="0.15">
      <c r="A17" s="1" t="s">
        <v>16</v>
      </c>
      <c r="B17" s="1" t="s">
        <v>365</v>
      </c>
      <c r="C17" s="1" t="s">
        <v>207</v>
      </c>
      <c r="D17" s="1" t="s">
        <v>537</v>
      </c>
      <c r="E17" s="1" t="s">
        <v>258</v>
      </c>
      <c r="F17" s="1" t="s">
        <v>531</v>
      </c>
      <c r="G17" s="1" t="s">
        <v>832</v>
      </c>
      <c r="H17" s="1" t="s">
        <v>922</v>
      </c>
      <c r="I17" s="1" t="s">
        <v>733</v>
      </c>
      <c r="J17" s="1" t="s">
        <v>538</v>
      </c>
      <c r="K17" s="1" t="s">
        <v>1186</v>
      </c>
      <c r="L17" s="1" t="s">
        <v>1275</v>
      </c>
    </row>
    <row r="18" spans="1:12" x14ac:dyDescent="0.15">
      <c r="A18" s="1" t="s">
        <v>17</v>
      </c>
      <c r="B18" s="1" t="s">
        <v>366</v>
      </c>
      <c r="C18" s="1" t="s">
        <v>208</v>
      </c>
      <c r="D18" s="1" t="s">
        <v>538</v>
      </c>
      <c r="E18" s="1" t="s">
        <v>640</v>
      </c>
      <c r="F18" s="1" t="s">
        <v>734</v>
      </c>
      <c r="G18" s="1" t="s">
        <v>258</v>
      </c>
      <c r="H18" s="1" t="s">
        <v>923</v>
      </c>
      <c r="I18" s="1" t="s">
        <v>1012</v>
      </c>
      <c r="J18" s="1" t="s">
        <v>1091</v>
      </c>
      <c r="K18" s="1" t="s">
        <v>1187</v>
      </c>
      <c r="L18" s="1" t="s">
        <v>1276</v>
      </c>
    </row>
    <row r="19" spans="1:12" x14ac:dyDescent="0.15">
      <c r="A19" s="1" t="s">
        <v>18</v>
      </c>
      <c r="B19" s="1" t="s">
        <v>367</v>
      </c>
      <c r="C19" s="1" t="s">
        <v>209</v>
      </c>
      <c r="D19" s="1" t="s">
        <v>539</v>
      </c>
      <c r="E19" s="1" t="s">
        <v>641</v>
      </c>
      <c r="F19" s="1" t="s">
        <v>733</v>
      </c>
      <c r="G19" s="1" t="s">
        <v>258</v>
      </c>
      <c r="H19" s="1" t="s">
        <v>924</v>
      </c>
      <c r="I19" s="1" t="s">
        <v>735</v>
      </c>
      <c r="J19" s="1" t="s">
        <v>1092</v>
      </c>
      <c r="K19" s="1" t="s">
        <v>1188</v>
      </c>
      <c r="L19" s="1" t="s">
        <v>1277</v>
      </c>
    </row>
    <row r="20" spans="1:12" x14ac:dyDescent="0.15">
      <c r="A20" s="1" t="s">
        <v>19</v>
      </c>
      <c r="B20" s="1" t="s">
        <v>368</v>
      </c>
      <c r="C20" s="1" t="s">
        <v>210</v>
      </c>
      <c r="D20" s="1" t="s">
        <v>258</v>
      </c>
      <c r="E20" s="1" t="s">
        <v>642</v>
      </c>
      <c r="F20" s="1" t="s">
        <v>735</v>
      </c>
      <c r="G20" s="1" t="s">
        <v>833</v>
      </c>
      <c r="H20" s="1" t="s">
        <v>925</v>
      </c>
      <c r="I20" s="1" t="s">
        <v>1013</v>
      </c>
      <c r="J20" s="1" t="s">
        <v>1093</v>
      </c>
      <c r="K20" s="1" t="s">
        <v>1189</v>
      </c>
      <c r="L20" s="1" t="s">
        <v>1278</v>
      </c>
    </row>
    <row r="21" spans="1:12" x14ac:dyDescent="0.15">
      <c r="A21" s="1" t="s">
        <v>20</v>
      </c>
      <c r="B21" s="1" t="s">
        <v>369</v>
      </c>
      <c r="C21" s="1" t="s">
        <v>211</v>
      </c>
      <c r="D21" s="1" t="s">
        <v>540</v>
      </c>
      <c r="E21" s="1" t="s">
        <v>531</v>
      </c>
      <c r="F21" s="1" t="s">
        <v>736</v>
      </c>
      <c r="G21" s="1" t="s">
        <v>258</v>
      </c>
      <c r="H21" s="1" t="s">
        <v>926</v>
      </c>
      <c r="I21" s="1" t="s">
        <v>944</v>
      </c>
      <c r="J21" s="1" t="s">
        <v>1020</v>
      </c>
      <c r="K21" s="1" t="s">
        <v>1190</v>
      </c>
      <c r="L21" s="1" t="s">
        <v>1279</v>
      </c>
    </row>
    <row r="22" spans="1:12" x14ac:dyDescent="0.15">
      <c r="A22" s="1" t="s">
        <v>21</v>
      </c>
      <c r="B22" s="1" t="s">
        <v>370</v>
      </c>
      <c r="C22" s="1" t="s">
        <v>212</v>
      </c>
      <c r="D22" s="1" t="s">
        <v>541</v>
      </c>
      <c r="E22" s="1" t="s">
        <v>258</v>
      </c>
      <c r="F22" s="1" t="s">
        <v>737</v>
      </c>
      <c r="G22" s="1" t="s">
        <v>834</v>
      </c>
      <c r="H22" s="1" t="s">
        <v>927</v>
      </c>
      <c r="I22" s="1" t="s">
        <v>1010</v>
      </c>
      <c r="J22" s="1" t="s">
        <v>1023</v>
      </c>
      <c r="K22" s="1" t="s">
        <v>1191</v>
      </c>
      <c r="L22" s="1" t="s">
        <v>1185</v>
      </c>
    </row>
    <row r="23" spans="1:12" x14ac:dyDescent="0.15">
      <c r="A23" s="1" t="s">
        <v>22</v>
      </c>
      <c r="B23" s="1" t="s">
        <v>371</v>
      </c>
      <c r="C23" s="1" t="s">
        <v>213</v>
      </c>
      <c r="D23" s="1" t="s">
        <v>258</v>
      </c>
      <c r="E23" s="1" t="s">
        <v>643</v>
      </c>
      <c r="F23" s="1" t="s">
        <v>735</v>
      </c>
      <c r="G23" s="1" t="s">
        <v>835</v>
      </c>
      <c r="H23" s="1" t="s">
        <v>928</v>
      </c>
      <c r="I23" s="1" t="s">
        <v>1014</v>
      </c>
      <c r="J23" s="1" t="s">
        <v>1094</v>
      </c>
      <c r="K23" s="1" t="s">
        <v>1192</v>
      </c>
      <c r="L23" s="1" t="s">
        <v>1280</v>
      </c>
    </row>
    <row r="24" spans="1:12" x14ac:dyDescent="0.15">
      <c r="A24" s="1" t="s">
        <v>23</v>
      </c>
      <c r="B24" s="1" t="s">
        <v>372</v>
      </c>
      <c r="C24" s="1" t="s">
        <v>214</v>
      </c>
      <c r="D24" s="1" t="s">
        <v>542</v>
      </c>
      <c r="E24" s="1" t="s">
        <v>644</v>
      </c>
      <c r="F24" s="1" t="s">
        <v>195</v>
      </c>
      <c r="G24" s="1" t="s">
        <v>531</v>
      </c>
      <c r="H24" s="1" t="s">
        <v>258</v>
      </c>
      <c r="I24" s="1" t="s">
        <v>1015</v>
      </c>
      <c r="J24" s="1" t="s">
        <v>733</v>
      </c>
      <c r="K24" s="1" t="s">
        <v>870</v>
      </c>
      <c r="L24" s="1" t="s">
        <v>908</v>
      </c>
    </row>
    <row r="25" spans="1:12" x14ac:dyDescent="0.15">
      <c r="A25" s="1" t="s">
        <v>24</v>
      </c>
      <c r="B25" s="1" t="s">
        <v>373</v>
      </c>
      <c r="C25" s="1" t="s">
        <v>197</v>
      </c>
      <c r="D25" s="1" t="s">
        <v>543</v>
      </c>
      <c r="E25" s="1" t="s">
        <v>258</v>
      </c>
      <c r="F25" s="1" t="s">
        <v>738</v>
      </c>
      <c r="G25" s="1" t="s">
        <v>836</v>
      </c>
      <c r="H25" s="1" t="s">
        <v>596</v>
      </c>
      <c r="I25" s="1" t="s">
        <v>842</v>
      </c>
      <c r="J25" s="1" t="s">
        <v>1095</v>
      </c>
      <c r="K25" s="1" t="s">
        <v>1077</v>
      </c>
      <c r="L25" s="1" t="s">
        <v>1281</v>
      </c>
    </row>
    <row r="26" spans="1:12" x14ac:dyDescent="0.15">
      <c r="A26" s="1" t="s">
        <v>25</v>
      </c>
      <c r="B26" s="1" t="s">
        <v>374</v>
      </c>
      <c r="C26" s="1" t="s">
        <v>215</v>
      </c>
      <c r="D26" s="1" t="s">
        <v>544</v>
      </c>
      <c r="E26" s="1" t="s">
        <v>258</v>
      </c>
      <c r="F26" s="1" t="s">
        <v>739</v>
      </c>
      <c r="G26" s="1" t="s">
        <v>837</v>
      </c>
      <c r="H26" s="1" t="s">
        <v>903</v>
      </c>
      <c r="I26" s="1" t="s">
        <v>675</v>
      </c>
      <c r="J26" s="1" t="s">
        <v>858</v>
      </c>
      <c r="K26" s="1" t="s">
        <v>538</v>
      </c>
      <c r="L26" s="1" t="s">
        <v>1105</v>
      </c>
    </row>
    <row r="27" spans="1:12" x14ac:dyDescent="0.15">
      <c r="A27" s="1" t="s">
        <v>26</v>
      </c>
      <c r="B27" s="1" t="s">
        <v>375</v>
      </c>
      <c r="C27" s="1" t="s">
        <v>216</v>
      </c>
      <c r="D27" s="1" t="s">
        <v>545</v>
      </c>
      <c r="E27" s="1" t="s">
        <v>258</v>
      </c>
      <c r="F27" s="1" t="s">
        <v>740</v>
      </c>
      <c r="G27" s="1" t="s">
        <v>838</v>
      </c>
      <c r="H27" s="1" t="s">
        <v>929</v>
      </c>
      <c r="I27" s="1" t="s">
        <v>1016</v>
      </c>
      <c r="J27" s="1" t="s">
        <v>1096</v>
      </c>
      <c r="K27" s="1" t="s">
        <v>1193</v>
      </c>
      <c r="L27" s="1" t="s">
        <v>1282</v>
      </c>
    </row>
    <row r="28" spans="1:12" x14ac:dyDescent="0.15">
      <c r="A28" s="1" t="s">
        <v>27</v>
      </c>
      <c r="B28" s="1" t="s">
        <v>376</v>
      </c>
      <c r="C28" s="1" t="s">
        <v>217</v>
      </c>
      <c r="D28" s="1" t="s">
        <v>546</v>
      </c>
      <c r="E28" s="1" t="s">
        <v>645</v>
      </c>
      <c r="F28" s="1" t="s">
        <v>741</v>
      </c>
      <c r="G28" s="1" t="s">
        <v>258</v>
      </c>
      <c r="H28" s="1" t="s">
        <v>930</v>
      </c>
      <c r="I28" s="1" t="s">
        <v>949</v>
      </c>
      <c r="J28" s="1" t="s">
        <v>1097</v>
      </c>
      <c r="K28" s="1" t="s">
        <v>1194</v>
      </c>
      <c r="L28" s="1" t="s">
        <v>1283</v>
      </c>
    </row>
    <row r="29" spans="1:12" x14ac:dyDescent="0.15">
      <c r="A29" s="1" t="s">
        <v>28</v>
      </c>
      <c r="B29" s="1" t="s">
        <v>377</v>
      </c>
      <c r="C29" s="1" t="s">
        <v>218</v>
      </c>
      <c r="D29" s="1" t="s">
        <v>547</v>
      </c>
      <c r="E29" s="1" t="s">
        <v>258</v>
      </c>
      <c r="F29" s="1" t="s">
        <v>742</v>
      </c>
      <c r="G29" s="1" t="s">
        <v>675</v>
      </c>
      <c r="H29" s="1" t="s">
        <v>766</v>
      </c>
      <c r="I29" s="1" t="s">
        <v>1017</v>
      </c>
      <c r="J29" s="1" t="s">
        <v>1098</v>
      </c>
      <c r="K29" s="1" t="s">
        <v>1195</v>
      </c>
      <c r="L29" s="1" t="s">
        <v>1284</v>
      </c>
    </row>
    <row r="30" spans="1:12" x14ac:dyDescent="0.15">
      <c r="A30" s="1" t="s">
        <v>29</v>
      </c>
      <c r="B30" s="1" t="s">
        <v>378</v>
      </c>
      <c r="C30" s="1" t="s">
        <v>219</v>
      </c>
      <c r="D30" s="1" t="s">
        <v>548</v>
      </c>
      <c r="E30" s="1" t="s">
        <v>258</v>
      </c>
      <c r="F30" s="1" t="s">
        <v>743</v>
      </c>
      <c r="G30" s="1" t="s">
        <v>839</v>
      </c>
      <c r="H30" s="1" t="s">
        <v>760</v>
      </c>
      <c r="I30" s="1" t="s">
        <v>1018</v>
      </c>
      <c r="J30" s="1" t="s">
        <v>1099</v>
      </c>
      <c r="K30" s="1" t="s">
        <v>1049</v>
      </c>
      <c r="L30" s="1" t="s">
        <v>1146</v>
      </c>
    </row>
    <row r="31" spans="1:12" x14ac:dyDescent="0.15">
      <c r="A31" s="1" t="s">
        <v>30</v>
      </c>
      <c r="B31" s="1" t="s">
        <v>379</v>
      </c>
      <c r="C31" s="1" t="s">
        <v>220</v>
      </c>
      <c r="D31" s="1" t="s">
        <v>199</v>
      </c>
      <c r="E31" s="1" t="s">
        <v>258</v>
      </c>
      <c r="F31" s="1" t="s">
        <v>744</v>
      </c>
      <c r="G31" s="1" t="s">
        <v>740</v>
      </c>
      <c r="H31" s="1" t="s">
        <v>931</v>
      </c>
      <c r="I31" s="1" t="s">
        <v>1019</v>
      </c>
      <c r="J31" s="1" t="s">
        <v>660</v>
      </c>
      <c r="K31" s="1" t="s">
        <v>1196</v>
      </c>
      <c r="L31" s="1" t="s">
        <v>1285</v>
      </c>
    </row>
    <row r="32" spans="1:12" x14ac:dyDescent="0.15">
      <c r="A32" s="1" t="s">
        <v>31</v>
      </c>
      <c r="B32" s="1" t="s">
        <v>380</v>
      </c>
      <c r="C32" s="1" t="s">
        <v>221</v>
      </c>
      <c r="D32" s="1" t="s">
        <v>199</v>
      </c>
      <c r="E32" s="1" t="s">
        <v>531</v>
      </c>
      <c r="F32" s="1" t="s">
        <v>258</v>
      </c>
      <c r="G32" s="1" t="s">
        <v>840</v>
      </c>
      <c r="H32" s="1" t="s">
        <v>667</v>
      </c>
      <c r="I32" s="1" t="s">
        <v>1020</v>
      </c>
      <c r="J32" s="1" t="s">
        <v>767</v>
      </c>
      <c r="K32" s="1" t="s">
        <v>738</v>
      </c>
      <c r="L32" s="1" t="s">
        <v>806</v>
      </c>
    </row>
    <row r="33" spans="1:12" x14ac:dyDescent="0.15">
      <c r="A33" s="1" t="s">
        <v>32</v>
      </c>
      <c r="B33" s="1" t="s">
        <v>381</v>
      </c>
      <c r="C33" s="1" t="s">
        <v>222</v>
      </c>
      <c r="D33" s="1" t="s">
        <v>549</v>
      </c>
      <c r="E33" s="1" t="s">
        <v>258</v>
      </c>
      <c r="F33" s="1" t="s">
        <v>745</v>
      </c>
      <c r="G33" s="1" t="s">
        <v>841</v>
      </c>
      <c r="H33" s="1" t="s">
        <v>531</v>
      </c>
      <c r="I33" s="1" t="s">
        <v>1021</v>
      </c>
      <c r="J33" s="1" t="s">
        <v>540</v>
      </c>
      <c r="K33" s="1" t="s">
        <v>733</v>
      </c>
      <c r="L33" s="1" t="s">
        <v>1020</v>
      </c>
    </row>
    <row r="34" spans="1:12" x14ac:dyDescent="0.15">
      <c r="A34" s="1" t="s">
        <v>33</v>
      </c>
      <c r="B34" s="1" t="s">
        <v>382</v>
      </c>
      <c r="C34" s="1" t="s">
        <v>223</v>
      </c>
      <c r="D34" s="1" t="s">
        <v>258</v>
      </c>
      <c r="E34" s="1" t="s">
        <v>646</v>
      </c>
      <c r="F34" s="1" t="s">
        <v>746</v>
      </c>
      <c r="G34" s="1" t="s">
        <v>842</v>
      </c>
      <c r="H34" s="1" t="s">
        <v>932</v>
      </c>
      <c r="I34" s="1" t="s">
        <v>1022</v>
      </c>
      <c r="J34" s="1" t="s">
        <v>1100</v>
      </c>
      <c r="K34" s="1" t="s">
        <v>760</v>
      </c>
      <c r="L34" s="1" t="s">
        <v>789</v>
      </c>
    </row>
    <row r="35" spans="1:12" x14ac:dyDescent="0.15">
      <c r="A35" s="1" t="s">
        <v>34</v>
      </c>
      <c r="B35" s="1" t="s">
        <v>383</v>
      </c>
      <c r="C35" s="1" t="s">
        <v>224</v>
      </c>
      <c r="D35" s="1" t="s">
        <v>550</v>
      </c>
      <c r="E35" s="1" t="s">
        <v>258</v>
      </c>
      <c r="F35" s="1" t="s">
        <v>747</v>
      </c>
      <c r="G35" s="1" t="s">
        <v>843</v>
      </c>
      <c r="H35" s="1" t="e">
        <v>#N/A</v>
      </c>
      <c r="I35" s="1" t="e">
        <v>#N/A</v>
      </c>
      <c r="J35" s="1" t="e">
        <v>#N/A</v>
      </c>
      <c r="K35" s="1" t="e">
        <v>#N/A</v>
      </c>
      <c r="L35" s="1" t="e">
        <v>#N/A</v>
      </c>
    </row>
    <row r="36" spans="1:12" x14ac:dyDescent="0.15">
      <c r="A36" s="1" t="s">
        <v>35</v>
      </c>
      <c r="B36" s="1" t="s">
        <v>384</v>
      </c>
      <c r="C36" s="1" t="s">
        <v>225</v>
      </c>
      <c r="D36" s="1" t="s">
        <v>199</v>
      </c>
      <c r="E36" s="1" t="s">
        <v>647</v>
      </c>
      <c r="F36" s="1" t="s">
        <v>531</v>
      </c>
      <c r="G36" s="1" t="s">
        <v>258</v>
      </c>
      <c r="H36" s="1" t="s">
        <v>784</v>
      </c>
      <c r="I36" s="1" t="s">
        <v>1023</v>
      </c>
      <c r="J36" s="1" t="s">
        <v>1101</v>
      </c>
      <c r="K36" s="1" t="s">
        <v>737</v>
      </c>
      <c r="L36" s="1" t="s">
        <v>834</v>
      </c>
    </row>
    <row r="37" spans="1:12" x14ac:dyDescent="0.15">
      <c r="A37" s="1" t="s">
        <v>36</v>
      </c>
      <c r="B37" s="1" t="s">
        <v>385</v>
      </c>
      <c r="C37" s="1" t="s">
        <v>226</v>
      </c>
      <c r="D37" s="1" t="s">
        <v>551</v>
      </c>
      <c r="E37" s="1" t="s">
        <v>648</v>
      </c>
      <c r="F37" s="1" t="s">
        <v>748</v>
      </c>
      <c r="G37" s="1" t="s">
        <v>844</v>
      </c>
      <c r="H37" s="1" t="s">
        <v>258</v>
      </c>
      <c r="I37" s="1" t="s">
        <v>1024</v>
      </c>
      <c r="J37" s="1" t="s">
        <v>1102</v>
      </c>
      <c r="K37" s="1" t="s">
        <v>1197</v>
      </c>
      <c r="L37" s="1" t="s">
        <v>1286</v>
      </c>
    </row>
    <row r="38" spans="1:12" x14ac:dyDescent="0.15">
      <c r="A38" s="1" t="s">
        <v>37</v>
      </c>
      <c r="B38" s="1" t="s">
        <v>386</v>
      </c>
      <c r="C38" s="1" t="s">
        <v>227</v>
      </c>
      <c r="D38" s="1" t="s">
        <v>552</v>
      </c>
      <c r="E38" s="1" t="s">
        <v>649</v>
      </c>
      <c r="F38" s="1" t="s">
        <v>258</v>
      </c>
      <c r="G38" s="1" t="s">
        <v>845</v>
      </c>
      <c r="H38" s="1" t="s">
        <v>532</v>
      </c>
      <c r="I38" s="1" t="s">
        <v>531</v>
      </c>
      <c r="J38" s="1" t="s">
        <v>1103</v>
      </c>
      <c r="K38" s="1" t="s">
        <v>1198</v>
      </c>
      <c r="L38" s="1" t="s">
        <v>667</v>
      </c>
    </row>
    <row r="39" spans="1:12" x14ac:dyDescent="0.15">
      <c r="A39" s="1" t="s">
        <v>38</v>
      </c>
      <c r="B39" s="1" t="s">
        <v>387</v>
      </c>
      <c r="C39" s="1" t="s">
        <v>228</v>
      </c>
      <c r="D39" s="1" t="s">
        <v>258</v>
      </c>
      <c r="E39" s="1" t="s">
        <v>650</v>
      </c>
      <c r="F39" s="1" t="s">
        <v>531</v>
      </c>
      <c r="G39" s="1" t="s">
        <v>846</v>
      </c>
      <c r="H39" s="1" t="s">
        <v>733</v>
      </c>
      <c r="I39" s="1" t="s">
        <v>198</v>
      </c>
      <c r="J39" s="1" t="s">
        <v>1104</v>
      </c>
      <c r="K39" s="1" t="s">
        <v>738</v>
      </c>
      <c r="L39" s="1" t="s">
        <v>532</v>
      </c>
    </row>
    <row r="40" spans="1:12" x14ac:dyDescent="0.15">
      <c r="A40" s="1" t="s">
        <v>39</v>
      </c>
      <c r="B40" s="1" t="s">
        <v>388</v>
      </c>
      <c r="C40" s="1" t="s">
        <v>229</v>
      </c>
      <c r="D40" s="1" t="s">
        <v>258</v>
      </c>
      <c r="E40" s="1" t="s">
        <v>651</v>
      </c>
      <c r="F40" s="1" t="s">
        <v>749</v>
      </c>
      <c r="G40" s="1" t="s">
        <v>847</v>
      </c>
      <c r="H40" s="1" t="s">
        <v>933</v>
      </c>
      <c r="I40" s="1" t="s">
        <v>1025</v>
      </c>
      <c r="J40" s="1" t="s">
        <v>1105</v>
      </c>
      <c r="K40" s="1" t="s">
        <v>1144</v>
      </c>
      <c r="L40" s="1" t="s">
        <v>740</v>
      </c>
    </row>
    <row r="41" spans="1:12" x14ac:dyDescent="0.15">
      <c r="A41" s="1" t="s">
        <v>40</v>
      </c>
      <c r="B41" s="1" t="s">
        <v>389</v>
      </c>
      <c r="C41" s="1" t="s">
        <v>230</v>
      </c>
      <c r="D41" s="1" t="s">
        <v>553</v>
      </c>
      <c r="E41" s="1" t="s">
        <v>652</v>
      </c>
      <c r="F41" s="1" t="s">
        <v>258</v>
      </c>
      <c r="G41" s="1" t="s">
        <v>531</v>
      </c>
      <c r="H41" s="1" t="s">
        <v>540</v>
      </c>
      <c r="I41" s="1" t="s">
        <v>1026</v>
      </c>
      <c r="J41" s="1" t="s">
        <v>1106</v>
      </c>
      <c r="K41" s="1" t="s">
        <v>1199</v>
      </c>
      <c r="L41" s="1" t="s">
        <v>1287</v>
      </c>
    </row>
    <row r="42" spans="1:12" x14ac:dyDescent="0.15">
      <c r="A42" s="1" t="s">
        <v>41</v>
      </c>
      <c r="B42" s="1" t="s">
        <v>390</v>
      </c>
      <c r="C42" s="1" t="s">
        <v>231</v>
      </c>
      <c r="D42" s="1" t="s">
        <v>258</v>
      </c>
      <c r="E42" s="1" t="s">
        <v>653</v>
      </c>
      <c r="F42" s="1" t="s">
        <v>750</v>
      </c>
      <c r="G42" s="1" t="s">
        <v>848</v>
      </c>
      <c r="H42" s="1" t="s">
        <v>934</v>
      </c>
      <c r="I42" s="1" t="s">
        <v>1027</v>
      </c>
      <c r="J42" s="1" t="s">
        <v>1107</v>
      </c>
      <c r="K42" s="1" t="s">
        <v>929</v>
      </c>
      <c r="L42" s="1" t="s">
        <v>1288</v>
      </c>
    </row>
    <row r="43" spans="1:12" x14ac:dyDescent="0.15">
      <c r="A43" s="1" t="s">
        <v>42</v>
      </c>
      <c r="B43" s="1" t="s">
        <v>391</v>
      </c>
      <c r="C43" s="1" t="s">
        <v>232</v>
      </c>
      <c r="D43" s="1" t="s">
        <v>240</v>
      </c>
      <c r="E43" s="1" t="s">
        <v>258</v>
      </c>
      <c r="F43" s="1" t="s">
        <v>751</v>
      </c>
      <c r="G43" s="1" t="s">
        <v>849</v>
      </c>
      <c r="H43" s="1" t="s">
        <v>935</v>
      </c>
      <c r="I43" s="1" t="s">
        <v>990</v>
      </c>
      <c r="J43" s="1" t="s">
        <v>1108</v>
      </c>
      <c r="K43" s="1" t="s">
        <v>1200</v>
      </c>
      <c r="L43" s="1" t="s">
        <v>1289</v>
      </c>
    </row>
    <row r="44" spans="1:12" x14ac:dyDescent="0.15">
      <c r="A44" s="1" t="s">
        <v>43</v>
      </c>
      <c r="B44" s="1" t="s">
        <v>392</v>
      </c>
      <c r="C44" s="1" t="s">
        <v>233</v>
      </c>
      <c r="D44" s="1" t="s">
        <v>554</v>
      </c>
      <c r="E44" s="1" t="s">
        <v>258</v>
      </c>
      <c r="F44" s="1" t="s">
        <v>752</v>
      </c>
      <c r="G44" s="1" t="s">
        <v>538</v>
      </c>
      <c r="H44" s="1" t="s">
        <v>936</v>
      </c>
      <c r="I44" s="1" t="s">
        <v>1028</v>
      </c>
      <c r="J44" s="1" t="s">
        <v>532</v>
      </c>
      <c r="K44" s="1" t="s">
        <v>1201</v>
      </c>
      <c r="L44" s="1" t="s">
        <v>1290</v>
      </c>
    </row>
    <row r="45" spans="1:12" x14ac:dyDescent="0.15">
      <c r="A45" s="1" t="s">
        <v>44</v>
      </c>
      <c r="B45" s="1" t="s">
        <v>393</v>
      </c>
      <c r="C45" s="1" t="s">
        <v>234</v>
      </c>
      <c r="D45" s="1" t="s">
        <v>555</v>
      </c>
      <c r="E45" s="1" t="s">
        <v>654</v>
      </c>
      <c r="F45" s="1" t="s">
        <v>753</v>
      </c>
      <c r="G45" s="1" t="s">
        <v>850</v>
      </c>
      <c r="H45" s="1" t="e">
        <v>#N/A</v>
      </c>
      <c r="I45" s="1" t="e">
        <v>#N/A</v>
      </c>
      <c r="J45" s="1" t="e">
        <v>#N/A</v>
      </c>
      <c r="K45" s="1" t="e">
        <v>#N/A</v>
      </c>
      <c r="L45" s="1" t="e">
        <v>#N/A</v>
      </c>
    </row>
    <row r="46" spans="1:12" x14ac:dyDescent="0.15">
      <c r="A46" s="1" t="s">
        <v>45</v>
      </c>
      <c r="B46" s="1" t="s">
        <v>394</v>
      </c>
      <c r="C46" s="1" t="s">
        <v>235</v>
      </c>
      <c r="D46" s="1" t="s">
        <v>258</v>
      </c>
      <c r="E46" s="1" t="e">
        <v>#N/A</v>
      </c>
      <c r="F46" s="1" t="e">
        <v>#N/A</v>
      </c>
      <c r="G46" s="1" t="e">
        <v>#N/A</v>
      </c>
      <c r="H46" s="1" t="e">
        <v>#N/A</v>
      </c>
      <c r="I46" s="1" t="e">
        <v>#N/A</v>
      </c>
      <c r="J46" s="1" t="e">
        <v>#N/A</v>
      </c>
      <c r="K46" s="1" t="e">
        <v>#N/A</v>
      </c>
      <c r="L46" s="1" t="e">
        <v>#N/A</v>
      </c>
    </row>
    <row r="47" spans="1:12" x14ac:dyDescent="0.15">
      <c r="A47" s="1" t="s">
        <v>46</v>
      </c>
      <c r="B47" s="1" t="s">
        <v>395</v>
      </c>
      <c r="C47" s="1" t="s">
        <v>236</v>
      </c>
      <c r="D47" s="1" t="s">
        <v>556</v>
      </c>
      <c r="E47" s="1" t="s">
        <v>258</v>
      </c>
      <c r="F47" s="1" t="s">
        <v>754</v>
      </c>
      <c r="G47" s="1" t="s">
        <v>851</v>
      </c>
      <c r="H47" s="1" t="s">
        <v>601</v>
      </c>
      <c r="I47" s="1" t="s">
        <v>540</v>
      </c>
      <c r="J47" s="1" t="s">
        <v>1109</v>
      </c>
      <c r="K47" s="1" t="s">
        <v>1202</v>
      </c>
      <c r="L47" s="1" t="s">
        <v>1126</v>
      </c>
    </row>
    <row r="48" spans="1:12" x14ac:dyDescent="0.15">
      <c r="A48" s="1" t="s">
        <v>47</v>
      </c>
      <c r="B48" s="1" t="s">
        <v>396</v>
      </c>
      <c r="C48" s="1" t="s">
        <v>237</v>
      </c>
      <c r="D48" s="1" t="s">
        <v>258</v>
      </c>
      <c r="E48" s="1" t="s">
        <v>531</v>
      </c>
      <c r="F48" s="1" t="s">
        <v>733</v>
      </c>
      <c r="G48" s="1" t="s">
        <v>839</v>
      </c>
      <c r="H48" s="1" t="s">
        <v>743</v>
      </c>
      <c r="I48" s="1" t="s">
        <v>1029</v>
      </c>
      <c r="J48" s="1" t="s">
        <v>1110</v>
      </c>
      <c r="K48" s="1" t="s">
        <v>1203</v>
      </c>
      <c r="L48" s="1" t="s">
        <v>1291</v>
      </c>
    </row>
    <row r="49" spans="1:12" x14ac:dyDescent="0.15">
      <c r="A49" s="1" t="s">
        <v>48</v>
      </c>
      <c r="B49" s="1" t="s">
        <v>397</v>
      </c>
      <c r="C49" s="1" t="s">
        <v>238</v>
      </c>
      <c r="D49" s="1" t="s">
        <v>199</v>
      </c>
      <c r="E49" s="1" t="s">
        <v>655</v>
      </c>
      <c r="F49" s="1" t="s">
        <v>755</v>
      </c>
      <c r="G49" s="1" t="s">
        <v>531</v>
      </c>
      <c r="H49" s="1" t="s">
        <v>258</v>
      </c>
      <c r="I49" s="1" t="s">
        <v>954</v>
      </c>
      <c r="J49" s="1" t="s">
        <v>1111</v>
      </c>
      <c r="K49" s="1" t="s">
        <v>1204</v>
      </c>
      <c r="L49" s="1" t="s">
        <v>1292</v>
      </c>
    </row>
    <row r="50" spans="1:12" x14ac:dyDescent="0.15">
      <c r="A50" s="1" t="s">
        <v>49</v>
      </c>
      <c r="B50" s="1" t="s">
        <v>398</v>
      </c>
      <c r="C50" s="1" t="s">
        <v>239</v>
      </c>
      <c r="D50" s="1" t="s">
        <v>258</v>
      </c>
      <c r="E50" s="1" t="s">
        <v>656</v>
      </c>
      <c r="F50" s="1" t="s">
        <v>756</v>
      </c>
      <c r="G50" s="1" t="s">
        <v>531</v>
      </c>
      <c r="H50" s="1" t="s">
        <v>937</v>
      </c>
      <c r="I50" s="1" t="s">
        <v>1030</v>
      </c>
      <c r="J50" s="1" t="s">
        <v>995</v>
      </c>
      <c r="K50" s="1" t="s">
        <v>1205</v>
      </c>
      <c r="L50" s="1" t="s">
        <v>538</v>
      </c>
    </row>
    <row r="51" spans="1:12" x14ac:dyDescent="0.15">
      <c r="A51" s="1" t="s">
        <v>50</v>
      </c>
      <c r="B51" s="1" t="s">
        <v>399</v>
      </c>
      <c r="C51" s="1" t="s">
        <v>240</v>
      </c>
      <c r="D51" s="1" t="s">
        <v>557</v>
      </c>
      <c r="E51" s="1" t="s">
        <v>258</v>
      </c>
      <c r="F51" s="1" t="s">
        <v>757</v>
      </c>
      <c r="G51" s="1" t="s">
        <v>751</v>
      </c>
      <c r="H51" s="1" t="s">
        <v>935</v>
      </c>
      <c r="I51" s="1" t="s">
        <v>1031</v>
      </c>
      <c r="J51" s="1" t="s">
        <v>766</v>
      </c>
      <c r="K51" s="1" t="s">
        <v>1206</v>
      </c>
      <c r="L51" s="1" t="s">
        <v>990</v>
      </c>
    </row>
    <row r="52" spans="1:12" x14ac:dyDescent="0.15">
      <c r="A52" s="1" t="s">
        <v>51</v>
      </c>
      <c r="B52" s="1" t="s">
        <v>400</v>
      </c>
      <c r="C52" s="1" t="s">
        <v>241</v>
      </c>
      <c r="D52" s="1" t="s">
        <v>199</v>
      </c>
      <c r="E52" s="1" t="s">
        <v>258</v>
      </c>
      <c r="F52" s="1" t="s">
        <v>531</v>
      </c>
      <c r="G52" s="1" t="s">
        <v>733</v>
      </c>
      <c r="H52" s="1" t="s">
        <v>938</v>
      </c>
      <c r="I52" s="1" t="s">
        <v>1032</v>
      </c>
      <c r="J52" s="1" t="s">
        <v>1089</v>
      </c>
      <c r="K52" s="1" t="s">
        <v>1181</v>
      </c>
      <c r="L52" s="1" t="s">
        <v>1293</v>
      </c>
    </row>
    <row r="53" spans="1:12" x14ac:dyDescent="0.15">
      <c r="A53" s="1" t="s">
        <v>52</v>
      </c>
      <c r="B53" s="1" t="s">
        <v>401</v>
      </c>
      <c r="C53" s="1" t="s">
        <v>242</v>
      </c>
      <c r="D53" s="1" t="s">
        <v>558</v>
      </c>
      <c r="E53" s="1" t="s">
        <v>258</v>
      </c>
      <c r="F53" s="1" t="s">
        <v>758</v>
      </c>
      <c r="G53" s="1" t="s">
        <v>852</v>
      </c>
      <c r="H53" s="1" t="s">
        <v>939</v>
      </c>
      <c r="I53" s="1" t="s">
        <v>1033</v>
      </c>
      <c r="J53" s="1" t="s">
        <v>531</v>
      </c>
      <c r="K53" s="1" t="s">
        <v>1207</v>
      </c>
      <c r="L53" s="1" t="s">
        <v>1294</v>
      </c>
    </row>
    <row r="54" spans="1:12" x14ac:dyDescent="0.15">
      <c r="A54" s="1" t="s">
        <v>53</v>
      </c>
      <c r="B54" s="1" t="s">
        <v>402</v>
      </c>
      <c r="C54" s="1" t="s">
        <v>199</v>
      </c>
      <c r="D54" s="1" t="s">
        <v>559</v>
      </c>
      <c r="E54" s="1" t="s">
        <v>258</v>
      </c>
      <c r="F54" s="1" t="s">
        <v>531</v>
      </c>
      <c r="G54" s="1" t="s">
        <v>853</v>
      </c>
      <c r="H54" s="1" t="s">
        <v>739</v>
      </c>
      <c r="I54" s="1" t="s">
        <v>538</v>
      </c>
      <c r="J54" s="1" t="s">
        <v>856</v>
      </c>
      <c r="K54" s="1" t="s">
        <v>874</v>
      </c>
      <c r="L54" s="1" t="s">
        <v>1114</v>
      </c>
    </row>
    <row r="55" spans="1:12" x14ac:dyDescent="0.15">
      <c r="A55" s="1" t="s">
        <v>54</v>
      </c>
      <c r="B55" s="1" t="s">
        <v>403</v>
      </c>
      <c r="C55" s="1" t="s">
        <v>199</v>
      </c>
      <c r="D55" s="1" t="s">
        <v>560</v>
      </c>
      <c r="E55" s="1" t="s">
        <v>258</v>
      </c>
      <c r="F55" s="1" t="s">
        <v>759</v>
      </c>
      <c r="G55" s="1" t="s">
        <v>853</v>
      </c>
      <c r="H55" s="1" t="s">
        <v>940</v>
      </c>
      <c r="I55" s="1" t="s">
        <v>531</v>
      </c>
      <c r="J55" s="1" t="s">
        <v>1112</v>
      </c>
      <c r="K55" s="1" t="s">
        <v>1208</v>
      </c>
      <c r="L55" s="1" t="s">
        <v>1295</v>
      </c>
    </row>
    <row r="56" spans="1:12" x14ac:dyDescent="0.15">
      <c r="A56" s="1" t="s">
        <v>55</v>
      </c>
      <c r="B56" s="1" t="s">
        <v>404</v>
      </c>
      <c r="C56" s="1" t="s">
        <v>199</v>
      </c>
      <c r="D56" s="1" t="s">
        <v>561</v>
      </c>
      <c r="E56" s="1" t="s">
        <v>657</v>
      </c>
      <c r="F56" s="1" t="s">
        <v>258</v>
      </c>
      <c r="G56" s="1" t="s">
        <v>854</v>
      </c>
      <c r="H56" s="1" t="s">
        <v>531</v>
      </c>
      <c r="I56" s="1" t="s">
        <v>1034</v>
      </c>
      <c r="J56" s="1" t="s">
        <v>1113</v>
      </c>
      <c r="K56" s="1" t="s">
        <v>1209</v>
      </c>
      <c r="L56" s="1" t="s">
        <v>853</v>
      </c>
    </row>
    <row r="57" spans="1:12" x14ac:dyDescent="0.15">
      <c r="A57" s="1" t="s">
        <v>56</v>
      </c>
      <c r="B57" s="1" t="s">
        <v>405</v>
      </c>
      <c r="C57" s="1" t="s">
        <v>243</v>
      </c>
      <c r="D57" s="1" t="s">
        <v>562</v>
      </c>
      <c r="E57" s="1" t="s">
        <v>658</v>
      </c>
      <c r="F57" s="1" t="e">
        <v>#N/A</v>
      </c>
      <c r="G57" s="1" t="e">
        <v>#N/A</v>
      </c>
      <c r="H57" s="1" t="e">
        <v>#N/A</v>
      </c>
      <c r="I57" s="1" t="e">
        <v>#N/A</v>
      </c>
      <c r="J57" s="1" t="e">
        <v>#N/A</v>
      </c>
      <c r="K57" s="1" t="e">
        <v>#N/A</v>
      </c>
      <c r="L57" s="1" t="e">
        <v>#N/A</v>
      </c>
    </row>
    <row r="58" spans="1:12" x14ac:dyDescent="0.15">
      <c r="A58" s="1" t="s">
        <v>57</v>
      </c>
      <c r="B58" s="1" t="s">
        <v>406</v>
      </c>
      <c r="C58" s="1" t="s">
        <v>244</v>
      </c>
      <c r="D58" s="1" t="s">
        <v>258</v>
      </c>
      <c r="E58" s="1" t="s">
        <v>531</v>
      </c>
      <c r="F58" s="1" t="s">
        <v>760</v>
      </c>
      <c r="G58" s="1" t="s">
        <v>855</v>
      </c>
      <c r="H58" s="1" t="s">
        <v>941</v>
      </c>
      <c r="I58" s="1" t="s">
        <v>667</v>
      </c>
      <c r="J58" s="1" t="s">
        <v>1099</v>
      </c>
      <c r="K58" s="1" t="s">
        <v>1210</v>
      </c>
      <c r="L58" s="1" t="s">
        <v>1296</v>
      </c>
    </row>
    <row r="59" spans="1:12" x14ac:dyDescent="0.15">
      <c r="A59" s="1" t="s">
        <v>58</v>
      </c>
      <c r="B59" s="1" t="s">
        <v>407</v>
      </c>
      <c r="C59" s="1" t="s">
        <v>245</v>
      </c>
      <c r="D59" s="1" t="s">
        <v>563</v>
      </c>
      <c r="E59" s="1" t="s">
        <v>659</v>
      </c>
      <c r="F59" s="1" t="e">
        <v>#N/A</v>
      </c>
      <c r="G59" s="1" t="e">
        <v>#N/A</v>
      </c>
      <c r="H59" s="1" t="e">
        <v>#N/A</v>
      </c>
      <c r="I59" s="1" t="e">
        <v>#N/A</v>
      </c>
      <c r="J59" s="1" t="e">
        <v>#N/A</v>
      </c>
      <c r="K59" s="1" t="e">
        <v>#N/A</v>
      </c>
      <c r="L59" s="1" t="e">
        <v>#N/A</v>
      </c>
    </row>
    <row r="60" spans="1:12" x14ac:dyDescent="0.15">
      <c r="A60" s="1" t="s">
        <v>59</v>
      </c>
      <c r="B60" s="1" t="s">
        <v>408</v>
      </c>
      <c r="C60" s="1" t="s">
        <v>246</v>
      </c>
      <c r="D60" s="1" t="s">
        <v>258</v>
      </c>
      <c r="E60" s="1" t="s">
        <v>660</v>
      </c>
      <c r="F60" s="1" t="s">
        <v>761</v>
      </c>
      <c r="G60" s="1" t="s">
        <v>856</v>
      </c>
      <c r="H60" s="1" t="s">
        <v>942</v>
      </c>
      <c r="I60" s="1" t="s">
        <v>1035</v>
      </c>
      <c r="J60" s="1" t="s">
        <v>1114</v>
      </c>
      <c r="K60" s="1" t="s">
        <v>1211</v>
      </c>
      <c r="L60" s="1" t="s">
        <v>1297</v>
      </c>
    </row>
    <row r="61" spans="1:12" x14ac:dyDescent="0.15">
      <c r="A61" s="1" t="s">
        <v>60</v>
      </c>
      <c r="B61" s="1" t="s">
        <v>409</v>
      </c>
      <c r="C61" s="1" t="s">
        <v>247</v>
      </c>
      <c r="D61" s="1" t="s">
        <v>564</v>
      </c>
      <c r="E61" s="1" t="s">
        <v>661</v>
      </c>
      <c r="F61" s="1" t="s">
        <v>762</v>
      </c>
      <c r="G61" s="1" t="s">
        <v>857</v>
      </c>
      <c r="H61" s="1" t="s">
        <v>943</v>
      </c>
      <c r="I61" s="1" t="s">
        <v>1036</v>
      </c>
      <c r="J61" s="1" t="s">
        <v>1115</v>
      </c>
      <c r="K61" s="1" t="s">
        <v>1212</v>
      </c>
      <c r="L61" s="1" t="s">
        <v>1298</v>
      </c>
    </row>
    <row r="62" spans="1:12" x14ac:dyDescent="0.15">
      <c r="A62" s="1" t="s">
        <v>61</v>
      </c>
      <c r="B62" s="1" t="s">
        <v>410</v>
      </c>
      <c r="C62" s="1" t="s">
        <v>248</v>
      </c>
      <c r="D62" s="1" t="s">
        <v>540</v>
      </c>
      <c r="E62" s="1" t="s">
        <v>662</v>
      </c>
      <c r="F62" s="1" t="s">
        <v>763</v>
      </c>
      <c r="G62" s="1" t="s">
        <v>258</v>
      </c>
      <c r="H62" s="1" t="s">
        <v>944</v>
      </c>
      <c r="I62" s="1" t="s">
        <v>1037</v>
      </c>
      <c r="J62" s="1" t="s">
        <v>1116</v>
      </c>
      <c r="K62" s="1" t="s">
        <v>1213</v>
      </c>
      <c r="L62" s="1" t="s">
        <v>1020</v>
      </c>
    </row>
    <row r="63" spans="1:12" x14ac:dyDescent="0.15">
      <c r="A63" s="1" t="s">
        <v>62</v>
      </c>
      <c r="B63" s="1" t="s">
        <v>411</v>
      </c>
      <c r="C63" s="1" t="s">
        <v>249</v>
      </c>
      <c r="D63" s="1" t="s">
        <v>565</v>
      </c>
      <c r="E63" s="1" t="s">
        <v>663</v>
      </c>
      <c r="F63" s="1" t="e">
        <v>#N/A</v>
      </c>
      <c r="G63" s="1" t="e">
        <v>#N/A</v>
      </c>
      <c r="H63" s="1" t="e">
        <v>#N/A</v>
      </c>
      <c r="I63" s="1" t="e">
        <v>#N/A</v>
      </c>
      <c r="J63" s="1" t="e">
        <v>#N/A</v>
      </c>
      <c r="K63" s="1" t="e">
        <v>#N/A</v>
      </c>
      <c r="L63" s="1" t="e">
        <v>#N/A</v>
      </c>
    </row>
    <row r="64" spans="1:12" x14ac:dyDescent="0.15">
      <c r="A64" s="1" t="s">
        <v>63</v>
      </c>
      <c r="B64" s="1" t="s">
        <v>412</v>
      </c>
      <c r="C64" s="1" t="s">
        <v>250</v>
      </c>
      <c r="D64" s="1" t="s">
        <v>566</v>
      </c>
      <c r="E64" s="1" t="s">
        <v>258</v>
      </c>
      <c r="F64" s="1" t="s">
        <v>713</v>
      </c>
      <c r="G64" s="1" t="s">
        <v>858</v>
      </c>
      <c r="H64" s="1" t="s">
        <v>672</v>
      </c>
      <c r="I64" s="1" t="s">
        <v>837</v>
      </c>
      <c r="J64" s="1" t="s">
        <v>1117</v>
      </c>
      <c r="K64" s="1" t="s">
        <v>1214</v>
      </c>
      <c r="L64" s="1" t="s">
        <v>538</v>
      </c>
    </row>
    <row r="65" spans="1:12" x14ac:dyDescent="0.15">
      <c r="A65" s="1" t="s">
        <v>64</v>
      </c>
      <c r="B65" s="1" t="s">
        <v>413</v>
      </c>
      <c r="C65" s="1" t="s">
        <v>251</v>
      </c>
      <c r="D65" s="1" t="s">
        <v>531</v>
      </c>
      <c r="E65" s="1" t="s">
        <v>258</v>
      </c>
      <c r="F65" s="1" t="s">
        <v>733</v>
      </c>
      <c r="G65" s="1" t="s">
        <v>859</v>
      </c>
      <c r="H65" s="1" t="s">
        <v>737</v>
      </c>
      <c r="I65" s="1" t="s">
        <v>834</v>
      </c>
      <c r="J65" s="1" t="s">
        <v>927</v>
      </c>
      <c r="K65" s="1" t="s">
        <v>1010</v>
      </c>
      <c r="L65" s="1" t="s">
        <v>1023</v>
      </c>
    </row>
    <row r="66" spans="1:12" x14ac:dyDescent="0.15">
      <c r="A66" s="1" t="s">
        <v>65</v>
      </c>
      <c r="B66" s="1" t="s">
        <v>414</v>
      </c>
      <c r="C66" s="1" t="s">
        <v>252</v>
      </c>
      <c r="D66" s="1" t="s">
        <v>567</v>
      </c>
      <c r="E66" s="1" t="s">
        <v>258</v>
      </c>
      <c r="F66" s="1" t="s">
        <v>713</v>
      </c>
      <c r="G66" s="1" t="s">
        <v>538</v>
      </c>
      <c r="H66" s="1" t="s">
        <v>945</v>
      </c>
      <c r="I66" s="1" t="s">
        <v>853</v>
      </c>
      <c r="J66" s="1" t="s">
        <v>903</v>
      </c>
      <c r="K66" s="1" t="s">
        <v>892</v>
      </c>
      <c r="L66" s="1" t="s">
        <v>739</v>
      </c>
    </row>
    <row r="67" spans="1:12" x14ac:dyDescent="0.15">
      <c r="A67" s="1" t="s">
        <v>66</v>
      </c>
      <c r="B67" s="1" t="s">
        <v>415</v>
      </c>
      <c r="C67" s="1" t="s">
        <v>199</v>
      </c>
      <c r="D67" s="1" t="s">
        <v>568</v>
      </c>
      <c r="E67" s="1" t="s">
        <v>664</v>
      </c>
      <c r="F67" s="1" t="s">
        <v>764</v>
      </c>
      <c r="G67" s="1" t="s">
        <v>859</v>
      </c>
      <c r="H67" s="1" t="s">
        <v>265</v>
      </c>
      <c r="I67" s="1" t="s">
        <v>531</v>
      </c>
      <c r="J67" s="1" t="s">
        <v>1118</v>
      </c>
      <c r="K67" s="1" t="s">
        <v>1215</v>
      </c>
      <c r="L67" s="1" t="s">
        <v>1299</v>
      </c>
    </row>
    <row r="68" spans="1:12" x14ac:dyDescent="0.15">
      <c r="A68" s="1" t="s">
        <v>67</v>
      </c>
      <c r="B68" s="1" t="s">
        <v>416</v>
      </c>
      <c r="C68" s="1" t="s">
        <v>253</v>
      </c>
      <c r="D68" s="1" t="s">
        <v>569</v>
      </c>
      <c r="E68" s="1" t="s">
        <v>665</v>
      </c>
      <c r="F68" s="1" t="s">
        <v>765</v>
      </c>
      <c r="G68" s="1" t="s">
        <v>860</v>
      </c>
      <c r="H68" s="1" t="s">
        <v>698</v>
      </c>
      <c r="I68" s="1" t="s">
        <v>1038</v>
      </c>
      <c r="J68" s="1" t="s">
        <v>1119</v>
      </c>
      <c r="K68" s="1" t="s">
        <v>1216</v>
      </c>
      <c r="L68" s="1" t="s">
        <v>258</v>
      </c>
    </row>
    <row r="69" spans="1:12" x14ac:dyDescent="0.15">
      <c r="A69" s="1" t="s">
        <v>68</v>
      </c>
      <c r="B69" s="1" t="s">
        <v>417</v>
      </c>
      <c r="C69" s="1" t="s">
        <v>254</v>
      </c>
      <c r="D69" s="1" t="s">
        <v>570</v>
      </c>
      <c r="E69" s="1" t="e">
        <v>#N/A</v>
      </c>
      <c r="F69" s="1" t="e">
        <v>#N/A</v>
      </c>
      <c r="G69" s="1" t="e">
        <v>#N/A</v>
      </c>
      <c r="H69" s="1" t="e">
        <v>#N/A</v>
      </c>
      <c r="I69" s="1" t="e">
        <v>#N/A</v>
      </c>
      <c r="J69" s="1" t="e">
        <v>#N/A</v>
      </c>
      <c r="K69" s="1" t="e">
        <v>#N/A</v>
      </c>
      <c r="L69" s="1" t="e">
        <v>#N/A</v>
      </c>
    </row>
    <row r="70" spans="1:12" x14ac:dyDescent="0.15">
      <c r="A70" s="1" t="s">
        <v>69</v>
      </c>
      <c r="B70" s="1" t="s">
        <v>418</v>
      </c>
      <c r="C70" s="1" t="s">
        <v>255</v>
      </c>
      <c r="D70" s="1" t="s">
        <v>571</v>
      </c>
      <c r="E70" s="1" t="s">
        <v>666</v>
      </c>
      <c r="F70" s="1" t="s">
        <v>766</v>
      </c>
      <c r="G70" s="1" t="s">
        <v>861</v>
      </c>
      <c r="H70" s="1" t="s">
        <v>946</v>
      </c>
      <c r="I70" s="1" t="s">
        <v>1039</v>
      </c>
      <c r="J70" s="1" t="s">
        <v>258</v>
      </c>
      <c r="K70" s="1" t="s">
        <v>1217</v>
      </c>
      <c r="L70" s="1" t="s">
        <v>1300</v>
      </c>
    </row>
    <row r="71" spans="1:12" x14ac:dyDescent="0.15">
      <c r="A71" s="1" t="s">
        <v>70</v>
      </c>
      <c r="B71" s="1" t="s">
        <v>419</v>
      </c>
      <c r="C71" s="1" t="s">
        <v>256</v>
      </c>
      <c r="D71" s="1" t="s">
        <v>199</v>
      </c>
      <c r="E71" s="1" t="s">
        <v>667</v>
      </c>
      <c r="F71" s="1" t="s">
        <v>767</v>
      </c>
      <c r="G71" s="1" t="s">
        <v>862</v>
      </c>
      <c r="H71" s="1" t="s">
        <v>947</v>
      </c>
      <c r="I71" s="1" t="s">
        <v>834</v>
      </c>
      <c r="J71" s="1" t="s">
        <v>1010</v>
      </c>
      <c r="K71" s="1" t="s">
        <v>1185</v>
      </c>
      <c r="L71" s="1" t="s">
        <v>737</v>
      </c>
    </row>
    <row r="72" spans="1:12" x14ac:dyDescent="0.15">
      <c r="A72" s="1" t="s">
        <v>71</v>
      </c>
      <c r="B72" s="1" t="s">
        <v>420</v>
      </c>
      <c r="C72" s="1" t="s">
        <v>257</v>
      </c>
      <c r="D72" s="1" t="s">
        <v>572</v>
      </c>
      <c r="E72" s="1" t="s">
        <v>668</v>
      </c>
      <c r="F72" s="1" t="s">
        <v>768</v>
      </c>
      <c r="G72" s="1" t="s">
        <v>863</v>
      </c>
      <c r="H72" s="1" t="s">
        <v>258</v>
      </c>
      <c r="I72" s="1" t="s">
        <v>1040</v>
      </c>
      <c r="J72" s="1" t="s">
        <v>998</v>
      </c>
      <c r="K72" s="1" t="s">
        <v>885</v>
      </c>
      <c r="L72" s="1" t="s">
        <v>1301</v>
      </c>
    </row>
    <row r="73" spans="1:12" x14ac:dyDescent="0.15">
      <c r="A73" s="1" t="s">
        <v>72</v>
      </c>
      <c r="B73" s="1" t="s">
        <v>421</v>
      </c>
      <c r="C73" s="1" t="s">
        <v>258</v>
      </c>
      <c r="D73" s="1" t="s">
        <v>573</v>
      </c>
      <c r="E73" s="1" t="s">
        <v>669</v>
      </c>
      <c r="F73" s="1" t="s">
        <v>531</v>
      </c>
      <c r="G73" s="1" t="s">
        <v>864</v>
      </c>
      <c r="H73" s="1" t="s">
        <v>948</v>
      </c>
      <c r="I73" s="1" t="s">
        <v>1041</v>
      </c>
      <c r="J73" s="1" t="s">
        <v>1077</v>
      </c>
      <c r="K73" s="1" t="s">
        <v>738</v>
      </c>
      <c r="L73" s="1" t="s">
        <v>651</v>
      </c>
    </row>
    <row r="74" spans="1:12" x14ac:dyDescent="0.15">
      <c r="A74" s="1" t="s">
        <v>73</v>
      </c>
      <c r="B74" s="1" t="s">
        <v>422</v>
      </c>
      <c r="C74" s="1" t="s">
        <v>259</v>
      </c>
      <c r="D74" s="1" t="s">
        <v>574</v>
      </c>
      <c r="E74" s="1" t="s">
        <v>258</v>
      </c>
      <c r="F74" s="1" t="s">
        <v>769</v>
      </c>
      <c r="G74" s="1" t="s">
        <v>736</v>
      </c>
      <c r="H74" s="1" t="s">
        <v>949</v>
      </c>
      <c r="I74" s="1" t="s">
        <v>1042</v>
      </c>
      <c r="J74" s="1" t="s">
        <v>1097</v>
      </c>
      <c r="K74" s="1" t="s">
        <v>1056</v>
      </c>
      <c r="L74" s="1" t="s">
        <v>1302</v>
      </c>
    </row>
    <row r="75" spans="1:12" x14ac:dyDescent="0.15">
      <c r="A75" s="1" t="s">
        <v>74</v>
      </c>
      <c r="B75" s="1" t="s">
        <v>423</v>
      </c>
      <c r="C75" s="1" t="s">
        <v>260</v>
      </c>
      <c r="D75" s="1" t="s">
        <v>258</v>
      </c>
      <c r="E75" s="1" t="s">
        <v>670</v>
      </c>
      <c r="F75" s="1" t="e">
        <v>#N/A</v>
      </c>
      <c r="G75" s="1" t="e">
        <v>#N/A</v>
      </c>
      <c r="H75" s="1" t="e">
        <v>#N/A</v>
      </c>
      <c r="I75" s="1" t="e">
        <v>#N/A</v>
      </c>
      <c r="J75" s="1" t="e">
        <v>#N/A</v>
      </c>
      <c r="K75" s="1" t="e">
        <v>#N/A</v>
      </c>
      <c r="L75" s="1" t="e">
        <v>#N/A</v>
      </c>
    </row>
    <row r="76" spans="1:12" x14ac:dyDescent="0.15">
      <c r="A76" s="1" t="s">
        <v>75</v>
      </c>
      <c r="B76" s="1" t="s">
        <v>424</v>
      </c>
      <c r="C76" s="1" t="s">
        <v>260</v>
      </c>
      <c r="D76" s="1" t="s">
        <v>575</v>
      </c>
      <c r="E76" s="1" t="s">
        <v>671</v>
      </c>
      <c r="F76" s="1" t="s">
        <v>770</v>
      </c>
      <c r="G76" s="1" t="s">
        <v>865</v>
      </c>
      <c r="H76" s="1" t="s">
        <v>950</v>
      </c>
      <c r="I76" s="1" t="s">
        <v>258</v>
      </c>
      <c r="J76" s="1" t="s">
        <v>1120</v>
      </c>
      <c r="K76" s="1" t="s">
        <v>1218</v>
      </c>
      <c r="L76" s="1" t="s">
        <v>1303</v>
      </c>
    </row>
    <row r="77" spans="1:12" x14ac:dyDescent="0.15">
      <c r="A77" s="1" t="s">
        <v>76</v>
      </c>
      <c r="B77" s="1" t="s">
        <v>425</v>
      </c>
      <c r="C77" s="1" t="s">
        <v>261</v>
      </c>
      <c r="D77" s="1" t="s">
        <v>576</v>
      </c>
      <c r="E77" s="1" t="s">
        <v>672</v>
      </c>
      <c r="F77" s="1" t="s">
        <v>771</v>
      </c>
      <c r="G77" s="1" t="s">
        <v>866</v>
      </c>
      <c r="H77" s="1" t="s">
        <v>258</v>
      </c>
      <c r="I77" s="1" t="s">
        <v>1043</v>
      </c>
      <c r="J77" s="1" t="s">
        <v>1121</v>
      </c>
      <c r="K77" s="1" t="s">
        <v>298</v>
      </c>
      <c r="L77" s="1" t="s">
        <v>1304</v>
      </c>
    </row>
    <row r="78" spans="1:12" x14ac:dyDescent="0.15">
      <c r="A78" s="1" t="s">
        <v>77</v>
      </c>
      <c r="B78" s="1" t="s">
        <v>426</v>
      </c>
      <c r="C78" s="1" t="s">
        <v>262</v>
      </c>
      <c r="D78" s="1" t="s">
        <v>577</v>
      </c>
      <c r="E78" s="1" t="s">
        <v>673</v>
      </c>
      <c r="F78" s="1" t="s">
        <v>772</v>
      </c>
      <c r="G78" s="1" t="s">
        <v>867</v>
      </c>
      <c r="H78" s="1" t="s">
        <v>951</v>
      </c>
      <c r="I78" s="1" t="s">
        <v>1044</v>
      </c>
      <c r="J78" s="1" t="s">
        <v>1122</v>
      </c>
      <c r="K78" s="1" t="s">
        <v>1219</v>
      </c>
      <c r="L78" s="1" t="s">
        <v>1305</v>
      </c>
    </row>
    <row r="79" spans="1:12" x14ac:dyDescent="0.15">
      <c r="A79" s="1" t="s">
        <v>78</v>
      </c>
      <c r="B79" s="1" t="s">
        <v>427</v>
      </c>
      <c r="C79" s="1" t="s">
        <v>263</v>
      </c>
      <c r="D79" s="1" t="s">
        <v>199</v>
      </c>
      <c r="E79" s="1" t="s">
        <v>674</v>
      </c>
      <c r="F79" s="1" t="s">
        <v>773</v>
      </c>
      <c r="G79" s="1" t="s">
        <v>691</v>
      </c>
      <c r="H79" s="1" t="s">
        <v>952</v>
      </c>
      <c r="I79" s="1" t="s">
        <v>953</v>
      </c>
      <c r="J79" s="1" t="s">
        <v>962</v>
      </c>
      <c r="K79" s="1" t="s">
        <v>538</v>
      </c>
      <c r="L79" s="1" t="s">
        <v>774</v>
      </c>
    </row>
    <row r="80" spans="1:12" x14ac:dyDescent="0.15">
      <c r="A80" s="1" t="s">
        <v>79</v>
      </c>
      <c r="B80" s="1" t="s">
        <v>428</v>
      </c>
      <c r="C80" s="1" t="s">
        <v>264</v>
      </c>
      <c r="D80" s="1" t="s">
        <v>199</v>
      </c>
      <c r="E80" s="1" t="s">
        <v>538</v>
      </c>
      <c r="F80" s="1" t="s">
        <v>774</v>
      </c>
      <c r="G80" s="1" t="s">
        <v>868</v>
      </c>
      <c r="H80" s="1" t="s">
        <v>953</v>
      </c>
      <c r="I80" s="1" t="s">
        <v>1045</v>
      </c>
      <c r="J80" s="1" t="s">
        <v>692</v>
      </c>
      <c r="K80" s="1" t="s">
        <v>1220</v>
      </c>
      <c r="L80" s="1" t="s">
        <v>307</v>
      </c>
    </row>
    <row r="81" spans="1:12" x14ac:dyDescent="0.15">
      <c r="A81" s="1" t="s">
        <v>80</v>
      </c>
      <c r="B81" s="1" t="s">
        <v>429</v>
      </c>
      <c r="C81" s="1" t="s">
        <v>265</v>
      </c>
      <c r="D81" s="1" t="s">
        <v>199</v>
      </c>
      <c r="E81" s="1" t="s">
        <v>664</v>
      </c>
      <c r="F81" s="1" t="s">
        <v>775</v>
      </c>
      <c r="G81" s="1" t="s">
        <v>295</v>
      </c>
      <c r="H81" s="1" t="s">
        <v>531</v>
      </c>
      <c r="I81" s="1" t="s">
        <v>258</v>
      </c>
      <c r="J81" s="1" t="s">
        <v>770</v>
      </c>
      <c r="K81" s="1" t="s">
        <v>1221</v>
      </c>
      <c r="L81" s="1" t="s">
        <v>890</v>
      </c>
    </row>
    <row r="82" spans="1:12" x14ac:dyDescent="0.15">
      <c r="A82" s="1" t="s">
        <v>81</v>
      </c>
      <c r="B82" s="1" t="s">
        <v>430</v>
      </c>
      <c r="C82" s="1" t="s">
        <v>266</v>
      </c>
      <c r="D82" s="1" t="s">
        <v>578</v>
      </c>
      <c r="E82" s="1" t="s">
        <v>675</v>
      </c>
      <c r="F82" s="1" t="s">
        <v>776</v>
      </c>
      <c r="G82" s="1" t="s">
        <v>869</v>
      </c>
      <c r="H82" s="1" t="s">
        <v>954</v>
      </c>
      <c r="I82" s="1" t="s">
        <v>905</v>
      </c>
      <c r="J82" s="1" t="s">
        <v>1123</v>
      </c>
      <c r="K82" s="1" t="s">
        <v>258</v>
      </c>
      <c r="L82" s="1" t="s">
        <v>1306</v>
      </c>
    </row>
    <row r="83" spans="1:12" x14ac:dyDescent="0.15">
      <c r="A83" s="1" t="s">
        <v>82</v>
      </c>
      <c r="B83" s="1" t="s">
        <v>431</v>
      </c>
      <c r="C83" s="1" t="s">
        <v>267</v>
      </c>
      <c r="D83" s="1" t="s">
        <v>579</v>
      </c>
      <c r="E83" s="1" t="s">
        <v>676</v>
      </c>
      <c r="F83" s="1" t="s">
        <v>258</v>
      </c>
      <c r="G83" s="1" t="s">
        <v>778</v>
      </c>
      <c r="H83" s="1" t="s">
        <v>955</v>
      </c>
      <c r="I83" s="1" t="s">
        <v>1046</v>
      </c>
      <c r="J83" s="1" t="s">
        <v>1124</v>
      </c>
      <c r="K83" s="1" t="s">
        <v>538</v>
      </c>
      <c r="L83" s="1" t="s">
        <v>1307</v>
      </c>
    </row>
    <row r="84" spans="1:12" x14ac:dyDescent="0.15">
      <c r="A84" s="1" t="s">
        <v>83</v>
      </c>
      <c r="B84" s="1" t="s">
        <v>432</v>
      </c>
      <c r="C84" s="1" t="s">
        <v>268</v>
      </c>
      <c r="D84" s="1" t="s">
        <v>580</v>
      </c>
      <c r="E84" s="1" t="s">
        <v>199</v>
      </c>
      <c r="F84" s="1" t="s">
        <v>314</v>
      </c>
      <c r="G84" s="1" t="s">
        <v>870</v>
      </c>
      <c r="H84" s="1" t="s">
        <v>956</v>
      </c>
      <c r="I84" s="1" t="s">
        <v>531</v>
      </c>
      <c r="J84" s="1" t="s">
        <v>258</v>
      </c>
      <c r="K84" s="1" t="s">
        <v>1222</v>
      </c>
      <c r="L84" s="1" t="s">
        <v>890</v>
      </c>
    </row>
    <row r="85" spans="1:12" x14ac:dyDescent="0.15">
      <c r="A85" s="1" t="s">
        <v>84</v>
      </c>
      <c r="B85" s="1" t="s">
        <v>433</v>
      </c>
      <c r="C85" s="1" t="s">
        <v>269</v>
      </c>
      <c r="D85" s="1" t="s">
        <v>581</v>
      </c>
      <c r="E85" s="1" t="s">
        <v>677</v>
      </c>
      <c r="F85" s="1" t="s">
        <v>693</v>
      </c>
      <c r="G85" s="1" t="s">
        <v>871</v>
      </c>
      <c r="H85" s="1" t="s">
        <v>957</v>
      </c>
      <c r="I85" s="1" t="s">
        <v>1047</v>
      </c>
      <c r="J85" s="1" t="s">
        <v>531</v>
      </c>
      <c r="K85" s="1" t="s">
        <v>258</v>
      </c>
      <c r="L85" s="1" t="s">
        <v>1308</v>
      </c>
    </row>
    <row r="86" spans="1:12" x14ac:dyDescent="0.15">
      <c r="A86" s="1" t="s">
        <v>85</v>
      </c>
      <c r="B86" s="1" t="s">
        <v>434</v>
      </c>
      <c r="C86" s="1" t="s">
        <v>258</v>
      </c>
      <c r="D86" s="1" t="s">
        <v>582</v>
      </c>
      <c r="E86" s="1" t="s">
        <v>678</v>
      </c>
      <c r="F86" s="1" t="s">
        <v>777</v>
      </c>
      <c r="G86" s="1" t="s">
        <v>872</v>
      </c>
      <c r="H86" s="1" t="s">
        <v>958</v>
      </c>
      <c r="I86" s="1" t="s">
        <v>1048</v>
      </c>
      <c r="J86" s="1" t="s">
        <v>733</v>
      </c>
      <c r="K86" s="1" t="s">
        <v>1223</v>
      </c>
      <c r="L86" s="1" t="s">
        <v>1309</v>
      </c>
    </row>
    <row r="87" spans="1:12" x14ac:dyDescent="0.15">
      <c r="A87" s="1" t="s">
        <v>86</v>
      </c>
      <c r="B87" s="1" t="s">
        <v>435</v>
      </c>
      <c r="C87" s="1" t="s">
        <v>270</v>
      </c>
      <c r="D87" s="1" t="s">
        <v>283</v>
      </c>
      <c r="E87" s="1" t="s">
        <v>199</v>
      </c>
      <c r="F87" s="1" t="s">
        <v>778</v>
      </c>
      <c r="G87" s="1" t="s">
        <v>873</v>
      </c>
      <c r="H87" s="1" t="s">
        <v>959</v>
      </c>
      <c r="I87" s="1" t="s">
        <v>258</v>
      </c>
      <c r="J87" s="1" t="s">
        <v>1125</v>
      </c>
      <c r="K87" s="1" t="s">
        <v>890</v>
      </c>
      <c r="L87" s="1" t="s">
        <v>980</v>
      </c>
    </row>
    <row r="88" spans="1:12" x14ac:dyDescent="0.15">
      <c r="A88" s="1" t="s">
        <v>87</v>
      </c>
      <c r="B88" s="1" t="s">
        <v>436</v>
      </c>
      <c r="C88" s="1" t="s">
        <v>251</v>
      </c>
      <c r="D88" s="1" t="s">
        <v>199</v>
      </c>
      <c r="E88" s="1" t="s">
        <v>531</v>
      </c>
      <c r="F88" s="1" t="s">
        <v>258</v>
      </c>
      <c r="G88" s="1" t="s">
        <v>733</v>
      </c>
      <c r="H88" s="1" t="s">
        <v>960</v>
      </c>
      <c r="I88" s="1" t="s">
        <v>760</v>
      </c>
      <c r="J88" s="1" t="s">
        <v>1126</v>
      </c>
      <c r="K88" s="1" t="s">
        <v>738</v>
      </c>
      <c r="L88" s="1" t="s">
        <v>1310</v>
      </c>
    </row>
    <row r="89" spans="1:12" x14ac:dyDescent="0.15">
      <c r="A89" s="1" t="s">
        <v>88</v>
      </c>
      <c r="B89" s="1" t="s">
        <v>437</v>
      </c>
      <c r="C89" s="1" t="s">
        <v>271</v>
      </c>
      <c r="D89" s="1" t="s">
        <v>583</v>
      </c>
      <c r="E89" s="1" t="s">
        <v>679</v>
      </c>
      <c r="F89" s="1" t="s">
        <v>258</v>
      </c>
      <c r="G89" s="1" t="s">
        <v>874</v>
      </c>
      <c r="H89" s="1" t="s">
        <v>961</v>
      </c>
      <c r="I89" s="1" t="s">
        <v>1049</v>
      </c>
      <c r="J89" s="1" t="s">
        <v>1063</v>
      </c>
      <c r="K89" s="1" t="s">
        <v>736</v>
      </c>
      <c r="L89" s="1" t="s">
        <v>842</v>
      </c>
    </row>
    <row r="90" spans="1:12" x14ac:dyDescent="0.15">
      <c r="A90" s="1" t="s">
        <v>89</v>
      </c>
      <c r="B90" s="1" t="s">
        <v>438</v>
      </c>
      <c r="C90" s="1" t="s">
        <v>272</v>
      </c>
      <c r="D90" s="1" t="s">
        <v>584</v>
      </c>
      <c r="E90" s="1" t="s">
        <v>199</v>
      </c>
      <c r="F90" s="1" t="s">
        <v>779</v>
      </c>
      <c r="G90" s="1" t="s">
        <v>531</v>
      </c>
      <c r="H90" s="1" t="s">
        <v>962</v>
      </c>
      <c r="I90" s="1" t="s">
        <v>1002</v>
      </c>
      <c r="J90" s="1" t="s">
        <v>258</v>
      </c>
      <c r="K90" s="1" t="s">
        <v>640</v>
      </c>
      <c r="L90" s="1" t="s">
        <v>1025</v>
      </c>
    </row>
    <row r="91" spans="1:12" x14ac:dyDescent="0.15">
      <c r="A91" s="1" t="s">
        <v>90</v>
      </c>
      <c r="B91" s="1" t="s">
        <v>439</v>
      </c>
      <c r="C91" s="1" t="s">
        <v>273</v>
      </c>
      <c r="D91" s="1" t="e">
        <v>#N/A</v>
      </c>
      <c r="E91" s="1" t="e">
        <v>#N/A</v>
      </c>
      <c r="F91" s="1" t="e">
        <v>#N/A</v>
      </c>
      <c r="G91" s="1" t="e">
        <v>#N/A</v>
      </c>
      <c r="H91" s="1" t="e">
        <v>#N/A</v>
      </c>
      <c r="I91" s="1" t="e">
        <v>#N/A</v>
      </c>
      <c r="J91" s="1" t="e">
        <v>#N/A</v>
      </c>
      <c r="K91" s="1" t="e">
        <v>#N/A</v>
      </c>
      <c r="L91" s="1" t="e">
        <v>#N/A</v>
      </c>
    </row>
    <row r="92" spans="1:12" x14ac:dyDescent="0.15">
      <c r="A92" s="1" t="s">
        <v>91</v>
      </c>
      <c r="B92" s="1" t="s">
        <v>440</v>
      </c>
      <c r="C92" s="1" t="s">
        <v>274</v>
      </c>
      <c r="D92" s="1" t="s">
        <v>585</v>
      </c>
      <c r="E92" s="1" t="s">
        <v>680</v>
      </c>
      <c r="F92" s="1" t="s">
        <v>780</v>
      </c>
      <c r="G92" s="1" t="s">
        <v>875</v>
      </c>
      <c r="H92" s="1" t="s">
        <v>963</v>
      </c>
      <c r="I92" s="1" t="s">
        <v>1050</v>
      </c>
      <c r="J92" s="1" t="s">
        <v>1127</v>
      </c>
      <c r="K92" s="1" t="s">
        <v>1224</v>
      </c>
      <c r="L92" s="1" t="s">
        <v>1311</v>
      </c>
    </row>
    <row r="93" spans="1:12" x14ac:dyDescent="0.15">
      <c r="A93" s="1" t="s">
        <v>92</v>
      </c>
      <c r="B93" s="1" t="s">
        <v>441</v>
      </c>
      <c r="C93" s="1" t="s">
        <v>275</v>
      </c>
      <c r="D93" s="1" t="s">
        <v>586</v>
      </c>
      <c r="E93" s="1" t="s">
        <v>681</v>
      </c>
      <c r="F93" s="1" t="s">
        <v>781</v>
      </c>
      <c r="G93" s="1" t="s">
        <v>876</v>
      </c>
      <c r="H93" s="1" t="s">
        <v>258</v>
      </c>
      <c r="I93" s="1" t="s">
        <v>1051</v>
      </c>
      <c r="J93" s="1" t="s">
        <v>1128</v>
      </c>
      <c r="K93" s="1" t="s">
        <v>1225</v>
      </c>
      <c r="L93" s="1" t="s">
        <v>1312</v>
      </c>
    </row>
    <row r="94" spans="1:12" x14ac:dyDescent="0.15">
      <c r="A94" s="1" t="s">
        <v>93</v>
      </c>
      <c r="B94" s="1" t="s">
        <v>442</v>
      </c>
      <c r="C94" s="1" t="s">
        <v>276</v>
      </c>
      <c r="D94" s="1" t="s">
        <v>587</v>
      </c>
      <c r="E94" s="1" t="s">
        <v>258</v>
      </c>
      <c r="F94" s="1" t="s">
        <v>531</v>
      </c>
      <c r="G94" s="1" t="s">
        <v>877</v>
      </c>
      <c r="H94" s="1" t="s">
        <v>964</v>
      </c>
      <c r="I94" s="1" t="s">
        <v>1052</v>
      </c>
      <c r="J94" s="1" t="s">
        <v>1129</v>
      </c>
      <c r="K94" s="1" t="s">
        <v>1226</v>
      </c>
      <c r="L94" s="1" t="s">
        <v>1313</v>
      </c>
    </row>
    <row r="95" spans="1:12" x14ac:dyDescent="0.15">
      <c r="A95" s="1" t="s">
        <v>94</v>
      </c>
      <c r="B95" s="1" t="s">
        <v>443</v>
      </c>
      <c r="C95" s="1" t="s">
        <v>277</v>
      </c>
      <c r="D95" s="1" t="s">
        <v>588</v>
      </c>
      <c r="E95" s="1" t="s">
        <v>682</v>
      </c>
      <c r="F95" s="1" t="s">
        <v>782</v>
      </c>
      <c r="G95" s="1" t="s">
        <v>258</v>
      </c>
      <c r="H95" s="1" t="s">
        <v>531</v>
      </c>
      <c r="I95" s="1" t="s">
        <v>593</v>
      </c>
      <c r="J95" s="1" t="s">
        <v>1126</v>
      </c>
      <c r="K95" s="1" t="s">
        <v>1227</v>
      </c>
      <c r="L95" s="1" t="s">
        <v>286</v>
      </c>
    </row>
    <row r="96" spans="1:12" x14ac:dyDescent="0.15">
      <c r="A96" s="1" t="s">
        <v>95</v>
      </c>
      <c r="B96" s="1" t="s">
        <v>444</v>
      </c>
      <c r="C96" s="1" t="s">
        <v>278</v>
      </c>
      <c r="D96" s="1" t="s">
        <v>589</v>
      </c>
      <c r="E96" s="1" t="s">
        <v>680</v>
      </c>
      <c r="F96" s="1" t="s">
        <v>258</v>
      </c>
      <c r="G96" s="1" t="s">
        <v>878</v>
      </c>
      <c r="H96" s="1" t="s">
        <v>753</v>
      </c>
      <c r="I96" s="1" t="s">
        <v>671</v>
      </c>
      <c r="J96" s="1" t="s">
        <v>260</v>
      </c>
      <c r="K96" s="1" t="s">
        <v>1228</v>
      </c>
      <c r="L96" s="1" t="s">
        <v>1314</v>
      </c>
    </row>
    <row r="97" spans="1:12" x14ac:dyDescent="0.15">
      <c r="A97" s="1" t="s">
        <v>96</v>
      </c>
      <c r="B97" s="1" t="s">
        <v>445</v>
      </c>
      <c r="C97" s="1" t="s">
        <v>279</v>
      </c>
      <c r="D97" s="1" t="s">
        <v>199</v>
      </c>
      <c r="E97" s="1" t="s">
        <v>531</v>
      </c>
      <c r="F97" s="1" t="s">
        <v>733</v>
      </c>
      <c r="G97" s="1" t="s">
        <v>737</v>
      </c>
      <c r="H97" s="1" t="s">
        <v>834</v>
      </c>
      <c r="I97" s="1" t="s">
        <v>927</v>
      </c>
      <c r="J97" s="1" t="s">
        <v>1010</v>
      </c>
      <c r="K97" s="1" t="s">
        <v>1023</v>
      </c>
      <c r="L97" s="1" t="s">
        <v>1191</v>
      </c>
    </row>
    <row r="98" spans="1:12" x14ac:dyDescent="0.15">
      <c r="A98" s="1" t="s">
        <v>97</v>
      </c>
      <c r="B98" s="1" t="s">
        <v>446</v>
      </c>
      <c r="C98" s="1" t="s">
        <v>280</v>
      </c>
      <c r="D98" s="1" t="s">
        <v>199</v>
      </c>
      <c r="E98" s="1" t="s">
        <v>195</v>
      </c>
      <c r="F98" s="1" t="s">
        <v>590</v>
      </c>
      <c r="G98" s="1" t="s">
        <v>531</v>
      </c>
      <c r="H98" s="1" t="s">
        <v>965</v>
      </c>
      <c r="I98" s="1" t="s">
        <v>258</v>
      </c>
      <c r="J98" s="1" t="s">
        <v>1130</v>
      </c>
      <c r="K98" s="1" t="s">
        <v>890</v>
      </c>
      <c r="L98" s="1" t="s">
        <v>1315</v>
      </c>
    </row>
    <row r="99" spans="1:12" x14ac:dyDescent="0.15">
      <c r="A99" s="1" t="s">
        <v>98</v>
      </c>
      <c r="B99" s="1" t="s">
        <v>447</v>
      </c>
      <c r="C99" s="1" t="s">
        <v>281</v>
      </c>
      <c r="D99" s="1" t="s">
        <v>258</v>
      </c>
      <c r="E99" s="1" t="s">
        <v>531</v>
      </c>
      <c r="F99" s="1" t="s">
        <v>783</v>
      </c>
      <c r="G99" s="1" t="s">
        <v>879</v>
      </c>
      <c r="H99" s="1" t="s">
        <v>966</v>
      </c>
      <c r="I99" s="1" t="s">
        <v>198</v>
      </c>
      <c r="J99" s="1" t="s">
        <v>1131</v>
      </c>
      <c r="K99" s="1" t="s">
        <v>1229</v>
      </c>
      <c r="L99" s="1" t="s">
        <v>1316</v>
      </c>
    </row>
    <row r="100" spans="1:12" x14ac:dyDescent="0.15">
      <c r="A100" s="1" t="s">
        <v>99</v>
      </c>
      <c r="B100" s="1" t="s">
        <v>448</v>
      </c>
      <c r="C100" s="1" t="s">
        <v>282</v>
      </c>
      <c r="D100" s="1" t="s">
        <v>199</v>
      </c>
      <c r="E100" s="1" t="s">
        <v>683</v>
      </c>
      <c r="F100" s="1" t="s">
        <v>784</v>
      </c>
      <c r="G100" s="1" t="s">
        <v>880</v>
      </c>
      <c r="H100" s="1" t="s">
        <v>967</v>
      </c>
      <c r="I100" s="1" t="s">
        <v>258</v>
      </c>
      <c r="J100" s="1" t="s">
        <v>1132</v>
      </c>
      <c r="K100" s="1" t="s">
        <v>1230</v>
      </c>
      <c r="L100" s="1" t="s">
        <v>1317</v>
      </c>
    </row>
    <row r="101" spans="1:12" x14ac:dyDescent="0.15">
      <c r="A101" s="1" t="s">
        <v>100</v>
      </c>
      <c r="B101" s="1" t="s">
        <v>449</v>
      </c>
      <c r="C101" s="1" t="s">
        <v>283</v>
      </c>
      <c r="D101" s="1" t="s">
        <v>284</v>
      </c>
      <c r="E101" s="1" t="s">
        <v>199</v>
      </c>
      <c r="F101" s="1" t="s">
        <v>684</v>
      </c>
      <c r="G101" s="1" t="s">
        <v>258</v>
      </c>
      <c r="H101" s="1" t="s">
        <v>588</v>
      </c>
      <c r="I101" s="1" t="s">
        <v>531</v>
      </c>
      <c r="J101" s="1" t="s">
        <v>664</v>
      </c>
      <c r="K101" s="1" t="s">
        <v>733</v>
      </c>
      <c r="L101" s="1" t="s">
        <v>1318</v>
      </c>
    </row>
    <row r="102" spans="1:12" x14ac:dyDescent="0.15">
      <c r="A102" s="1" t="s">
        <v>101</v>
      </c>
      <c r="B102" s="1" t="s">
        <v>450</v>
      </c>
      <c r="C102" s="1" t="s">
        <v>199</v>
      </c>
      <c r="D102" s="1" t="s">
        <v>590</v>
      </c>
      <c r="E102" s="1" t="s">
        <v>258</v>
      </c>
      <c r="F102" s="1" t="s">
        <v>531</v>
      </c>
      <c r="G102" s="1" t="s">
        <v>881</v>
      </c>
      <c r="H102" s="1" t="s">
        <v>733</v>
      </c>
      <c r="I102" s="1" t="s">
        <v>1053</v>
      </c>
      <c r="J102" s="1" t="s">
        <v>1133</v>
      </c>
      <c r="K102" s="1" t="s">
        <v>1231</v>
      </c>
      <c r="L102" s="1" t="s">
        <v>834</v>
      </c>
    </row>
    <row r="103" spans="1:12" x14ac:dyDescent="0.15">
      <c r="A103" s="1" t="s">
        <v>102</v>
      </c>
      <c r="B103" s="1" t="s">
        <v>451</v>
      </c>
      <c r="C103" s="1" t="s">
        <v>284</v>
      </c>
      <c r="D103" s="1" t="s">
        <v>199</v>
      </c>
      <c r="E103" s="1" t="s">
        <v>684</v>
      </c>
      <c r="F103" s="1" t="s">
        <v>258</v>
      </c>
      <c r="G103" s="1" t="s">
        <v>882</v>
      </c>
      <c r="H103" s="1" t="s">
        <v>968</v>
      </c>
      <c r="I103" s="1" t="s">
        <v>1054</v>
      </c>
      <c r="J103" s="1" t="s">
        <v>1134</v>
      </c>
      <c r="K103" s="1" t="s">
        <v>1232</v>
      </c>
      <c r="L103" s="1" t="s">
        <v>1319</v>
      </c>
    </row>
    <row r="104" spans="1:12" x14ac:dyDescent="0.15">
      <c r="A104" s="1" t="s">
        <v>103</v>
      </c>
      <c r="B104" s="1" t="s">
        <v>452</v>
      </c>
      <c r="C104" s="1" t="s">
        <v>284</v>
      </c>
      <c r="D104" s="1" t="s">
        <v>591</v>
      </c>
      <c r="E104" s="1" t="s">
        <v>684</v>
      </c>
      <c r="F104" s="1" t="s">
        <v>199</v>
      </c>
      <c r="G104" s="1" t="s">
        <v>531</v>
      </c>
      <c r="H104" s="1" t="s">
        <v>969</v>
      </c>
      <c r="I104" s="1" t="s">
        <v>258</v>
      </c>
      <c r="J104" s="1" t="s">
        <v>664</v>
      </c>
      <c r="K104" s="1" t="s">
        <v>636</v>
      </c>
      <c r="L104" s="1" t="s">
        <v>1320</v>
      </c>
    </row>
    <row r="105" spans="1:12" x14ac:dyDescent="0.15">
      <c r="A105" s="1" t="s">
        <v>104</v>
      </c>
      <c r="B105" s="1" t="s">
        <v>453</v>
      </c>
      <c r="C105" s="1" t="s">
        <v>283</v>
      </c>
      <c r="D105" s="1" t="s">
        <v>199</v>
      </c>
      <c r="E105" s="1" t="s">
        <v>200</v>
      </c>
      <c r="F105" s="1" t="s">
        <v>531</v>
      </c>
      <c r="G105" s="1" t="s">
        <v>688</v>
      </c>
      <c r="H105" s="1" t="s">
        <v>258</v>
      </c>
      <c r="I105" s="1" t="s">
        <v>733</v>
      </c>
      <c r="J105" s="1" t="s">
        <v>1135</v>
      </c>
      <c r="K105" s="1" t="s">
        <v>1233</v>
      </c>
      <c r="L105" s="1" t="s">
        <v>968</v>
      </c>
    </row>
    <row r="106" spans="1:12" x14ac:dyDescent="0.15">
      <c r="A106" s="1" t="s">
        <v>105</v>
      </c>
      <c r="B106" s="1" t="s">
        <v>454</v>
      </c>
      <c r="C106" s="1" t="s">
        <v>285</v>
      </c>
      <c r="D106" s="1" t="s">
        <v>592</v>
      </c>
      <c r="E106" s="1" t="s">
        <v>685</v>
      </c>
      <c r="F106" s="1" t="e">
        <v>#N/A</v>
      </c>
      <c r="G106" s="1" t="e">
        <v>#N/A</v>
      </c>
      <c r="H106" s="1" t="e">
        <v>#N/A</v>
      </c>
      <c r="I106" s="1" t="e">
        <v>#N/A</v>
      </c>
      <c r="J106" s="1" t="e">
        <v>#N/A</v>
      </c>
      <c r="K106" s="1" t="e">
        <v>#N/A</v>
      </c>
      <c r="L106" s="1" t="e">
        <v>#N/A</v>
      </c>
    </row>
    <row r="107" spans="1:12" x14ac:dyDescent="0.15">
      <c r="A107" s="1" t="s">
        <v>106</v>
      </c>
      <c r="B107" s="1" t="s">
        <v>455</v>
      </c>
      <c r="C107" s="1" t="s">
        <v>286</v>
      </c>
      <c r="D107" s="1" t="s">
        <v>593</v>
      </c>
      <c r="E107" s="1" t="s">
        <v>686</v>
      </c>
      <c r="F107" s="1" t="s">
        <v>531</v>
      </c>
      <c r="G107" s="1" t="s">
        <v>258</v>
      </c>
      <c r="H107" s="1" t="s">
        <v>970</v>
      </c>
      <c r="I107" s="1" t="s">
        <v>1055</v>
      </c>
      <c r="J107" s="1" t="s">
        <v>1136</v>
      </c>
      <c r="K107" s="1" t="s">
        <v>675</v>
      </c>
      <c r="L107" s="1" t="s">
        <v>1321</v>
      </c>
    </row>
    <row r="108" spans="1:12" x14ac:dyDescent="0.15">
      <c r="A108" s="1" t="s">
        <v>107</v>
      </c>
      <c r="B108" s="1" t="s">
        <v>456</v>
      </c>
      <c r="C108" s="1" t="s">
        <v>287</v>
      </c>
      <c r="D108" s="1" t="s">
        <v>199</v>
      </c>
      <c r="E108" s="1" t="s">
        <v>258</v>
      </c>
      <c r="F108" s="1" t="s">
        <v>531</v>
      </c>
      <c r="G108" s="1" t="s">
        <v>699</v>
      </c>
      <c r="H108" s="1" t="s">
        <v>733</v>
      </c>
      <c r="I108" s="1" t="s">
        <v>1056</v>
      </c>
      <c r="J108" s="1" t="s">
        <v>1137</v>
      </c>
      <c r="K108" s="1" t="s">
        <v>737</v>
      </c>
      <c r="L108" s="1" t="s">
        <v>834</v>
      </c>
    </row>
    <row r="109" spans="1:12" x14ac:dyDescent="0.15">
      <c r="A109" s="1" t="s">
        <v>108</v>
      </c>
      <c r="B109" s="1" t="s">
        <v>457</v>
      </c>
      <c r="C109" s="1" t="s">
        <v>283</v>
      </c>
      <c r="D109" s="1" t="s">
        <v>284</v>
      </c>
      <c r="E109" s="1" t="s">
        <v>199</v>
      </c>
      <c r="F109" s="1" t="s">
        <v>684</v>
      </c>
      <c r="G109" s="1" t="s">
        <v>531</v>
      </c>
      <c r="H109" s="1" t="s">
        <v>258</v>
      </c>
      <c r="I109" s="1" t="s">
        <v>733</v>
      </c>
      <c r="J109" s="1" t="s">
        <v>1138</v>
      </c>
      <c r="K109" s="1" t="s">
        <v>538</v>
      </c>
      <c r="L109" s="1" t="s">
        <v>1218</v>
      </c>
    </row>
    <row r="110" spans="1:12" x14ac:dyDescent="0.15">
      <c r="A110" s="1" t="s">
        <v>109</v>
      </c>
      <c r="B110" s="1" t="s">
        <v>458</v>
      </c>
      <c r="C110" s="1" t="s">
        <v>288</v>
      </c>
      <c r="D110" s="1" t="s">
        <v>199</v>
      </c>
      <c r="E110" s="1" t="s">
        <v>687</v>
      </c>
      <c r="F110" s="1" t="s">
        <v>785</v>
      </c>
      <c r="G110" s="1" t="s">
        <v>883</v>
      </c>
      <c r="H110" s="1" t="s">
        <v>971</v>
      </c>
      <c r="I110" s="1" t="s">
        <v>1057</v>
      </c>
      <c r="J110" s="1" t="s">
        <v>258</v>
      </c>
      <c r="K110" s="1" t="s">
        <v>1234</v>
      </c>
      <c r="L110" s="1" t="s">
        <v>1322</v>
      </c>
    </row>
    <row r="111" spans="1:12" x14ac:dyDescent="0.15">
      <c r="A111" s="1" t="s">
        <v>110</v>
      </c>
      <c r="B111" s="1" t="s">
        <v>459</v>
      </c>
      <c r="C111" s="1" t="s">
        <v>289</v>
      </c>
      <c r="D111" s="1" t="s">
        <v>199</v>
      </c>
      <c r="E111" s="1" t="s">
        <v>258</v>
      </c>
      <c r="F111" s="1" t="s">
        <v>786</v>
      </c>
      <c r="G111" s="1" t="s">
        <v>884</v>
      </c>
      <c r="H111" s="1" t="s">
        <v>531</v>
      </c>
      <c r="I111" s="1" t="s">
        <v>1058</v>
      </c>
      <c r="J111" s="1" t="s">
        <v>1139</v>
      </c>
      <c r="K111" s="1" t="s">
        <v>1235</v>
      </c>
      <c r="L111" s="1" t="s">
        <v>1323</v>
      </c>
    </row>
    <row r="112" spans="1:12" x14ac:dyDescent="0.15">
      <c r="A112" s="1" t="s">
        <v>111</v>
      </c>
      <c r="B112" s="1" t="s">
        <v>460</v>
      </c>
      <c r="C112" s="1" t="s">
        <v>199</v>
      </c>
      <c r="D112" s="1" t="s">
        <v>265</v>
      </c>
      <c r="E112" s="1" t="s">
        <v>688</v>
      </c>
      <c r="F112" s="1" t="s">
        <v>280</v>
      </c>
      <c r="G112" s="1" t="s">
        <v>664</v>
      </c>
      <c r="H112" s="1" t="s">
        <v>258</v>
      </c>
      <c r="I112" s="1" t="s">
        <v>531</v>
      </c>
      <c r="J112" s="1" t="s">
        <v>195</v>
      </c>
      <c r="K112" s="1" t="s">
        <v>885</v>
      </c>
      <c r="L112" s="1" t="s">
        <v>640</v>
      </c>
    </row>
    <row r="113" spans="1:12" x14ac:dyDescent="0.15">
      <c r="A113" s="1" t="s">
        <v>112</v>
      </c>
      <c r="B113" s="1" t="s">
        <v>461</v>
      </c>
      <c r="C113" s="1" t="s">
        <v>290</v>
      </c>
      <c r="D113" s="1" t="s">
        <v>199</v>
      </c>
      <c r="E113" s="1" t="s">
        <v>689</v>
      </c>
      <c r="F113" s="1" t="s">
        <v>787</v>
      </c>
      <c r="G113" s="1" t="s">
        <v>258</v>
      </c>
      <c r="H113" s="1" t="s">
        <v>531</v>
      </c>
      <c r="I113" s="1" t="s">
        <v>1059</v>
      </c>
      <c r="J113" s="1" t="s">
        <v>1140</v>
      </c>
      <c r="K113" s="1" t="s">
        <v>1146</v>
      </c>
      <c r="L113" s="1" t="s">
        <v>1191</v>
      </c>
    </row>
    <row r="114" spans="1:12" x14ac:dyDescent="0.15">
      <c r="A114" s="1" t="s">
        <v>113</v>
      </c>
      <c r="B114" s="1" t="s">
        <v>462</v>
      </c>
      <c r="C114" s="1" t="s">
        <v>258</v>
      </c>
      <c r="D114" s="1" t="s">
        <v>594</v>
      </c>
      <c r="E114" s="1" t="s">
        <v>690</v>
      </c>
      <c r="F114" s="1" t="s">
        <v>788</v>
      </c>
      <c r="G114" s="1" t="s">
        <v>885</v>
      </c>
      <c r="H114" s="1" t="s">
        <v>972</v>
      </c>
      <c r="I114" s="1" t="s">
        <v>1060</v>
      </c>
      <c r="J114" s="1" t="s">
        <v>1141</v>
      </c>
      <c r="K114" s="1" t="s">
        <v>1236</v>
      </c>
      <c r="L114" s="1" t="s">
        <v>1324</v>
      </c>
    </row>
    <row r="115" spans="1:12" x14ac:dyDescent="0.15">
      <c r="A115" s="1" t="s">
        <v>114</v>
      </c>
      <c r="B115" s="1" t="s">
        <v>463</v>
      </c>
      <c r="C115" s="1" t="s">
        <v>291</v>
      </c>
      <c r="D115" s="1" t="s">
        <v>199</v>
      </c>
      <c r="E115" s="1" t="s">
        <v>691</v>
      </c>
      <c r="F115" s="1" t="s">
        <v>531</v>
      </c>
      <c r="G115" s="1" t="s">
        <v>258</v>
      </c>
      <c r="H115" s="1" t="s">
        <v>973</v>
      </c>
      <c r="I115" s="1" t="s">
        <v>737</v>
      </c>
      <c r="J115" s="1" t="s">
        <v>834</v>
      </c>
      <c r="K115" s="1" t="s">
        <v>927</v>
      </c>
      <c r="L115" s="1" t="s">
        <v>1010</v>
      </c>
    </row>
    <row r="116" spans="1:12" x14ac:dyDescent="0.15">
      <c r="A116" s="1" t="s">
        <v>115</v>
      </c>
      <c r="B116" s="1" t="s">
        <v>464</v>
      </c>
      <c r="C116" s="1" t="s">
        <v>292</v>
      </c>
      <c r="D116" s="1" t="s">
        <v>199</v>
      </c>
      <c r="E116" s="1" t="s">
        <v>531</v>
      </c>
      <c r="F116" s="1" t="s">
        <v>733</v>
      </c>
      <c r="G116" s="1" t="s">
        <v>258</v>
      </c>
      <c r="H116" s="1" t="s">
        <v>968</v>
      </c>
      <c r="I116" s="1" t="s">
        <v>738</v>
      </c>
      <c r="J116" s="1" t="s">
        <v>1142</v>
      </c>
      <c r="K116" s="1" t="s">
        <v>789</v>
      </c>
      <c r="L116" s="1" t="s">
        <v>1315</v>
      </c>
    </row>
    <row r="117" spans="1:12" x14ac:dyDescent="0.15">
      <c r="A117" s="1" t="s">
        <v>116</v>
      </c>
      <c r="B117" s="1" t="s">
        <v>465</v>
      </c>
      <c r="C117" s="1" t="s">
        <v>293</v>
      </c>
      <c r="D117" s="1" t="s">
        <v>199</v>
      </c>
      <c r="E117" s="1" t="s">
        <v>531</v>
      </c>
      <c r="F117" s="1" t="s">
        <v>258</v>
      </c>
      <c r="G117" s="1" t="s">
        <v>830</v>
      </c>
      <c r="H117" s="1" t="s">
        <v>905</v>
      </c>
      <c r="I117" s="1" t="s">
        <v>906</v>
      </c>
      <c r="J117" s="1" t="s">
        <v>1143</v>
      </c>
      <c r="K117" s="1" t="s">
        <v>1237</v>
      </c>
      <c r="L117" s="1" t="s">
        <v>1317</v>
      </c>
    </row>
    <row r="118" spans="1:12" x14ac:dyDescent="0.15">
      <c r="A118" s="1" t="s">
        <v>117</v>
      </c>
      <c r="B118" s="1" t="s">
        <v>466</v>
      </c>
      <c r="C118" s="1" t="s">
        <v>294</v>
      </c>
      <c r="D118" s="1" t="s">
        <v>595</v>
      </c>
      <c r="E118" s="1" t="s">
        <v>258</v>
      </c>
      <c r="F118" s="1" t="s">
        <v>789</v>
      </c>
      <c r="G118" s="1" t="s">
        <v>886</v>
      </c>
      <c r="H118" s="1" t="s">
        <v>974</v>
      </c>
      <c r="I118" s="1" t="s">
        <v>1061</v>
      </c>
      <c r="J118" s="1" t="s">
        <v>1144</v>
      </c>
      <c r="K118" s="1" t="s">
        <v>635</v>
      </c>
      <c r="L118" s="1" t="s">
        <v>532</v>
      </c>
    </row>
    <row r="119" spans="1:12" x14ac:dyDescent="0.15">
      <c r="A119" s="1" t="s">
        <v>118</v>
      </c>
      <c r="B119" s="1" t="s">
        <v>467</v>
      </c>
      <c r="C119" s="1" t="s">
        <v>295</v>
      </c>
      <c r="D119" s="1" t="s">
        <v>199</v>
      </c>
      <c r="E119" s="1" t="s">
        <v>692</v>
      </c>
      <c r="F119" s="1" t="s">
        <v>786</v>
      </c>
      <c r="G119" s="1" t="s">
        <v>301</v>
      </c>
      <c r="H119" s="1" t="s">
        <v>258</v>
      </c>
      <c r="I119" s="1" t="s">
        <v>1062</v>
      </c>
      <c r="J119" s="1" t="s">
        <v>1145</v>
      </c>
      <c r="K119" s="1" t="s">
        <v>1238</v>
      </c>
      <c r="L119" s="1" t="s">
        <v>964</v>
      </c>
    </row>
    <row r="120" spans="1:12" x14ac:dyDescent="0.15">
      <c r="A120" s="1" t="s">
        <v>119</v>
      </c>
      <c r="B120" s="1" t="s">
        <v>468</v>
      </c>
      <c r="C120" s="1" t="s">
        <v>296</v>
      </c>
      <c r="D120" s="1" t="s">
        <v>258</v>
      </c>
      <c r="E120" s="1" t="s">
        <v>531</v>
      </c>
      <c r="F120" s="1" t="s">
        <v>733</v>
      </c>
      <c r="G120" s="1" t="s">
        <v>538</v>
      </c>
      <c r="H120" s="1" t="s">
        <v>975</v>
      </c>
      <c r="I120" s="1" t="s">
        <v>738</v>
      </c>
      <c r="J120" s="1" t="s">
        <v>1146</v>
      </c>
      <c r="K120" s="1" t="s">
        <v>1077</v>
      </c>
      <c r="L120" s="1" t="s">
        <v>651</v>
      </c>
    </row>
    <row r="121" spans="1:12" x14ac:dyDescent="0.15">
      <c r="A121" s="1" t="s">
        <v>120</v>
      </c>
      <c r="B121" s="1" t="s">
        <v>469</v>
      </c>
      <c r="C121" s="1" t="s">
        <v>297</v>
      </c>
      <c r="D121" s="1" t="s">
        <v>596</v>
      </c>
      <c r="E121" s="1" t="s">
        <v>531</v>
      </c>
      <c r="F121" s="1" t="s">
        <v>790</v>
      </c>
      <c r="G121" s="1" t="s">
        <v>258</v>
      </c>
      <c r="H121" s="1" t="s">
        <v>674</v>
      </c>
      <c r="I121" s="1" t="s">
        <v>1063</v>
      </c>
      <c r="J121" s="1" t="s">
        <v>908</v>
      </c>
      <c r="K121" s="1" t="s">
        <v>733</v>
      </c>
      <c r="L121" s="1" t="s">
        <v>1325</v>
      </c>
    </row>
    <row r="122" spans="1:12" x14ac:dyDescent="0.15">
      <c r="A122" s="1" t="s">
        <v>121</v>
      </c>
      <c r="B122" s="1" t="s">
        <v>470</v>
      </c>
      <c r="C122" s="1" t="s">
        <v>298</v>
      </c>
      <c r="D122" s="1" t="s">
        <v>199</v>
      </c>
      <c r="E122" s="1" t="s">
        <v>693</v>
      </c>
      <c r="F122" s="1" t="s">
        <v>791</v>
      </c>
      <c r="G122" s="1" t="s">
        <v>887</v>
      </c>
      <c r="H122" s="1" t="s">
        <v>976</v>
      </c>
      <c r="I122" s="1" t="s">
        <v>258</v>
      </c>
      <c r="J122" s="1" t="s">
        <v>531</v>
      </c>
      <c r="K122" s="1" t="s">
        <v>1239</v>
      </c>
      <c r="L122" s="1" t="s">
        <v>1326</v>
      </c>
    </row>
    <row r="123" spans="1:12" x14ac:dyDescent="0.15">
      <c r="A123" s="1" t="s">
        <v>122</v>
      </c>
      <c r="B123" s="1" t="s">
        <v>471</v>
      </c>
      <c r="C123" s="1" t="s">
        <v>299</v>
      </c>
      <c r="D123" s="1" t="s">
        <v>258</v>
      </c>
      <c r="E123" s="1" t="s">
        <v>694</v>
      </c>
      <c r="F123" s="1" t="s">
        <v>792</v>
      </c>
      <c r="G123" s="1" t="s">
        <v>888</v>
      </c>
      <c r="H123" s="1" t="s">
        <v>537</v>
      </c>
      <c r="I123" s="1" t="s">
        <v>1064</v>
      </c>
      <c r="J123" s="1" t="s">
        <v>1147</v>
      </c>
      <c r="K123" s="1" t="s">
        <v>1240</v>
      </c>
      <c r="L123" s="1" t="s">
        <v>1327</v>
      </c>
    </row>
    <row r="124" spans="1:12" x14ac:dyDescent="0.15">
      <c r="A124" s="1" t="s">
        <v>123</v>
      </c>
      <c r="B124" s="1" t="s">
        <v>472</v>
      </c>
      <c r="C124" s="1" t="s">
        <v>300</v>
      </c>
      <c r="D124" s="1" t="s">
        <v>597</v>
      </c>
      <c r="E124" s="1" t="s">
        <v>695</v>
      </c>
      <c r="F124" s="1" t="s">
        <v>793</v>
      </c>
      <c r="G124" s="1" t="s">
        <v>209</v>
      </c>
      <c r="H124" s="1" t="s">
        <v>977</v>
      </c>
      <c r="I124" s="1" t="s">
        <v>258</v>
      </c>
      <c r="J124" s="1" t="s">
        <v>890</v>
      </c>
      <c r="K124" s="1" t="s">
        <v>980</v>
      </c>
      <c r="L124" s="1" t="s">
        <v>1328</v>
      </c>
    </row>
    <row r="125" spans="1:12" x14ac:dyDescent="0.15">
      <c r="A125" s="1" t="s">
        <v>124</v>
      </c>
      <c r="B125" s="1" t="s">
        <v>473</v>
      </c>
      <c r="C125" s="1" t="s">
        <v>301</v>
      </c>
      <c r="D125" s="1" t="s">
        <v>199</v>
      </c>
      <c r="E125" s="1" t="s">
        <v>696</v>
      </c>
      <c r="F125" s="1" t="s">
        <v>794</v>
      </c>
      <c r="G125" s="1" t="s">
        <v>298</v>
      </c>
      <c r="H125" s="1" t="s">
        <v>593</v>
      </c>
      <c r="I125" s="1" t="s">
        <v>1045</v>
      </c>
      <c r="J125" s="1" t="s">
        <v>774</v>
      </c>
      <c r="K125" s="1" t="s">
        <v>1241</v>
      </c>
      <c r="L125" s="1" t="s">
        <v>1320</v>
      </c>
    </row>
    <row r="126" spans="1:12" x14ac:dyDescent="0.15">
      <c r="A126" s="1" t="s">
        <v>125</v>
      </c>
      <c r="B126" s="1" t="s">
        <v>474</v>
      </c>
      <c r="C126" s="1" t="s">
        <v>302</v>
      </c>
      <c r="D126" s="1" t="s">
        <v>199</v>
      </c>
      <c r="E126" s="1" t="s">
        <v>258</v>
      </c>
      <c r="F126" s="1" t="s">
        <v>531</v>
      </c>
      <c r="G126" s="1" t="s">
        <v>733</v>
      </c>
      <c r="H126" s="1" t="s">
        <v>737</v>
      </c>
      <c r="I126" s="1" t="s">
        <v>834</v>
      </c>
      <c r="J126" s="1" t="s">
        <v>927</v>
      </c>
      <c r="K126" s="1" t="s">
        <v>1010</v>
      </c>
      <c r="L126" s="1" t="s">
        <v>1023</v>
      </c>
    </row>
    <row r="127" spans="1:12" x14ac:dyDescent="0.15">
      <c r="A127" s="1" t="s">
        <v>126</v>
      </c>
      <c r="B127" s="1" t="s">
        <v>475</v>
      </c>
      <c r="C127" s="1" t="s">
        <v>303</v>
      </c>
      <c r="D127" s="1" t="s">
        <v>598</v>
      </c>
      <c r="E127" s="1" t="s">
        <v>199</v>
      </c>
      <c r="F127" s="1" t="s">
        <v>531</v>
      </c>
      <c r="G127" s="1" t="s">
        <v>258</v>
      </c>
      <c r="H127" s="1" t="s">
        <v>890</v>
      </c>
      <c r="I127" s="1" t="s">
        <v>980</v>
      </c>
      <c r="J127" s="1" t="s">
        <v>927</v>
      </c>
      <c r="K127" s="1" t="s">
        <v>1242</v>
      </c>
      <c r="L127" s="1" t="s">
        <v>737</v>
      </c>
    </row>
    <row r="128" spans="1:12" x14ac:dyDescent="0.15">
      <c r="A128" s="1" t="s">
        <v>127</v>
      </c>
      <c r="B128" s="1" t="s">
        <v>476</v>
      </c>
      <c r="C128" s="1" t="s">
        <v>304</v>
      </c>
      <c r="D128" s="1" t="s">
        <v>199</v>
      </c>
      <c r="E128" s="1" t="s">
        <v>531</v>
      </c>
      <c r="F128" s="1" t="s">
        <v>733</v>
      </c>
      <c r="G128" s="1" t="s">
        <v>538</v>
      </c>
      <c r="H128" s="1" t="s">
        <v>258</v>
      </c>
      <c r="I128" s="1" t="s">
        <v>973</v>
      </c>
      <c r="J128" s="1" t="s">
        <v>1103</v>
      </c>
      <c r="K128" s="1" t="s">
        <v>1243</v>
      </c>
      <c r="L128" s="1" t="s">
        <v>953</v>
      </c>
    </row>
    <row r="129" spans="1:12" x14ac:dyDescent="0.15">
      <c r="A129" s="1" t="s">
        <v>128</v>
      </c>
      <c r="B129" s="1" t="s">
        <v>477</v>
      </c>
      <c r="C129" s="1" t="s">
        <v>303</v>
      </c>
      <c r="D129" s="1" t="s">
        <v>199</v>
      </c>
      <c r="E129" s="1" t="s">
        <v>697</v>
      </c>
      <c r="F129" s="1" t="s">
        <v>564</v>
      </c>
      <c r="G129" s="1" t="s">
        <v>598</v>
      </c>
      <c r="H129" s="1" t="s">
        <v>978</v>
      </c>
      <c r="I129" s="1" t="s">
        <v>531</v>
      </c>
      <c r="J129" s="1" t="s">
        <v>1148</v>
      </c>
      <c r="K129" s="1" t="s">
        <v>258</v>
      </c>
      <c r="L129" s="1" t="s">
        <v>265</v>
      </c>
    </row>
    <row r="130" spans="1:12" x14ac:dyDescent="0.15">
      <c r="A130" s="1" t="s">
        <v>129</v>
      </c>
      <c r="B130" s="1" t="s">
        <v>478</v>
      </c>
      <c r="C130" s="1" t="s">
        <v>305</v>
      </c>
      <c r="D130" s="1" t="s">
        <v>599</v>
      </c>
      <c r="E130" s="1" t="s">
        <v>698</v>
      </c>
      <c r="F130" s="1" t="s">
        <v>258</v>
      </c>
      <c r="G130" s="1" t="e">
        <v>#N/A</v>
      </c>
      <c r="H130" s="1" t="e">
        <v>#N/A</v>
      </c>
      <c r="I130" s="1" t="e">
        <v>#N/A</v>
      </c>
      <c r="J130" s="1" t="e">
        <v>#N/A</v>
      </c>
      <c r="K130" s="1" t="e">
        <v>#N/A</v>
      </c>
      <c r="L130" s="1" t="e">
        <v>#N/A</v>
      </c>
    </row>
    <row r="131" spans="1:12" x14ac:dyDescent="0.15">
      <c r="A131" s="1" t="s">
        <v>130</v>
      </c>
      <c r="B131" s="1" t="s">
        <v>479</v>
      </c>
      <c r="C131" s="1" t="s">
        <v>306</v>
      </c>
      <c r="D131" s="1" t="s">
        <v>199</v>
      </c>
      <c r="E131" s="1" t="s">
        <v>205</v>
      </c>
      <c r="F131" s="1" t="s">
        <v>258</v>
      </c>
      <c r="G131" s="1" t="s">
        <v>531</v>
      </c>
      <c r="H131" s="1" t="s">
        <v>291</v>
      </c>
      <c r="I131" s="1" t="s">
        <v>733</v>
      </c>
      <c r="J131" s="1" t="s">
        <v>1149</v>
      </c>
      <c r="K131" s="1" t="s">
        <v>1077</v>
      </c>
      <c r="L131" s="1" t="s">
        <v>1329</v>
      </c>
    </row>
    <row r="132" spans="1:12" x14ac:dyDescent="0.15">
      <c r="A132" s="1" t="s">
        <v>131</v>
      </c>
      <c r="B132" s="1" t="s">
        <v>480</v>
      </c>
      <c r="C132" s="1" t="s">
        <v>307</v>
      </c>
      <c r="D132" s="1" t="s">
        <v>199</v>
      </c>
      <c r="E132" s="1" t="s">
        <v>699</v>
      </c>
      <c r="F132" s="1" t="s">
        <v>531</v>
      </c>
      <c r="G132" s="1" t="s">
        <v>258</v>
      </c>
      <c r="H132" s="1" t="s">
        <v>979</v>
      </c>
      <c r="I132" s="1" t="s">
        <v>733</v>
      </c>
      <c r="J132" s="1" t="s">
        <v>1150</v>
      </c>
      <c r="K132" s="1" t="s">
        <v>1244</v>
      </c>
      <c r="L132" s="1" t="s">
        <v>973</v>
      </c>
    </row>
    <row r="133" spans="1:12" x14ac:dyDescent="0.15">
      <c r="A133" s="1" t="s">
        <v>132</v>
      </c>
      <c r="B133" s="1" t="s">
        <v>481</v>
      </c>
      <c r="C133" s="1" t="s">
        <v>308</v>
      </c>
      <c r="D133" s="1" t="s">
        <v>205</v>
      </c>
      <c r="E133" s="1" t="s">
        <v>258</v>
      </c>
      <c r="F133" s="1" t="s">
        <v>795</v>
      </c>
      <c r="G133" s="1" t="s">
        <v>889</v>
      </c>
      <c r="H133" s="1" t="s">
        <v>773</v>
      </c>
      <c r="I133" s="1" t="s">
        <v>929</v>
      </c>
      <c r="J133" s="1" t="s">
        <v>1151</v>
      </c>
      <c r="K133" s="1" t="s">
        <v>1245</v>
      </c>
      <c r="L133" s="1" t="s">
        <v>1330</v>
      </c>
    </row>
    <row r="134" spans="1:12" x14ac:dyDescent="0.15">
      <c r="A134" s="1" t="s">
        <v>133</v>
      </c>
      <c r="B134" s="1" t="s">
        <v>482</v>
      </c>
      <c r="C134" s="1" t="s">
        <v>309</v>
      </c>
      <c r="D134" s="1" t="s">
        <v>600</v>
      </c>
      <c r="E134" s="1" t="s">
        <v>700</v>
      </c>
      <c r="F134" s="1" t="s">
        <v>258</v>
      </c>
      <c r="G134" s="1" t="s">
        <v>667</v>
      </c>
      <c r="H134" s="1" t="s">
        <v>767</v>
      </c>
      <c r="I134" s="1" t="s">
        <v>1065</v>
      </c>
      <c r="J134" s="1" t="s">
        <v>1152</v>
      </c>
      <c r="K134" s="1" t="s">
        <v>760</v>
      </c>
      <c r="L134" s="1" t="s">
        <v>934</v>
      </c>
    </row>
    <row r="135" spans="1:12" x14ac:dyDescent="0.15">
      <c r="A135" s="1" t="s">
        <v>134</v>
      </c>
      <c r="B135" s="1" t="s">
        <v>483</v>
      </c>
      <c r="C135" s="1" t="s">
        <v>310</v>
      </c>
      <c r="D135" s="1" t="s">
        <v>601</v>
      </c>
      <c r="E135" s="1" t="s">
        <v>701</v>
      </c>
      <c r="F135" s="1" t="s">
        <v>258</v>
      </c>
      <c r="G135" s="1" t="s">
        <v>890</v>
      </c>
      <c r="H135" s="1" t="s">
        <v>980</v>
      </c>
      <c r="I135" s="1" t="s">
        <v>1066</v>
      </c>
      <c r="J135" s="1" t="s">
        <v>1153</v>
      </c>
      <c r="K135" s="1" t="s">
        <v>1246</v>
      </c>
      <c r="L135" s="1" t="s">
        <v>1331</v>
      </c>
    </row>
    <row r="136" spans="1:12" x14ac:dyDescent="0.15">
      <c r="A136" s="1" t="s">
        <v>135</v>
      </c>
      <c r="B136" s="1" t="s">
        <v>484</v>
      </c>
      <c r="C136" s="1" t="s">
        <v>311</v>
      </c>
      <c r="D136" s="1" t="s">
        <v>199</v>
      </c>
      <c r="E136" s="1" t="s">
        <v>531</v>
      </c>
      <c r="F136" s="1" t="s">
        <v>258</v>
      </c>
      <c r="G136" s="1" t="s">
        <v>891</v>
      </c>
      <c r="H136" s="1" t="s">
        <v>890</v>
      </c>
      <c r="I136" s="1" t="s">
        <v>980</v>
      </c>
      <c r="J136" s="1" t="s">
        <v>1154</v>
      </c>
      <c r="K136" s="1" t="s">
        <v>1247</v>
      </c>
      <c r="L136" s="1" t="s">
        <v>1332</v>
      </c>
    </row>
    <row r="137" spans="1:12" x14ac:dyDescent="0.15">
      <c r="A137" s="1" t="s">
        <v>136</v>
      </c>
      <c r="B137" s="1" t="s">
        <v>485</v>
      </c>
      <c r="C137" s="1" t="s">
        <v>312</v>
      </c>
      <c r="D137" s="1" t="s">
        <v>258</v>
      </c>
      <c r="E137" s="1" t="s">
        <v>199</v>
      </c>
      <c r="F137" s="1" t="s">
        <v>531</v>
      </c>
      <c r="G137" s="1" t="s">
        <v>892</v>
      </c>
      <c r="H137" s="1" t="s">
        <v>981</v>
      </c>
      <c r="I137" s="1" t="s">
        <v>538</v>
      </c>
      <c r="J137" s="1" t="s">
        <v>733</v>
      </c>
      <c r="K137" s="1" t="s">
        <v>1248</v>
      </c>
      <c r="L137" s="1" t="s">
        <v>738</v>
      </c>
    </row>
    <row r="138" spans="1:12" x14ac:dyDescent="0.15">
      <c r="A138" s="1" t="s">
        <v>137</v>
      </c>
      <c r="B138" s="1" t="s">
        <v>486</v>
      </c>
      <c r="C138" s="1" t="s">
        <v>313</v>
      </c>
      <c r="D138" s="1" t="s">
        <v>199</v>
      </c>
      <c r="E138" s="1" t="s">
        <v>258</v>
      </c>
      <c r="F138" s="1" t="s">
        <v>531</v>
      </c>
      <c r="G138" s="1" t="s">
        <v>839</v>
      </c>
      <c r="H138" s="1" t="s">
        <v>982</v>
      </c>
      <c r="I138" s="1" t="s">
        <v>743</v>
      </c>
      <c r="J138" s="1" t="s">
        <v>1002</v>
      </c>
      <c r="K138" s="1" t="s">
        <v>789</v>
      </c>
      <c r="L138" s="1" t="s">
        <v>1333</v>
      </c>
    </row>
    <row r="139" spans="1:12" x14ac:dyDescent="0.15">
      <c r="A139" s="1" t="s">
        <v>138</v>
      </c>
      <c r="B139" s="1" t="s">
        <v>487</v>
      </c>
      <c r="C139" s="1" t="s">
        <v>314</v>
      </c>
      <c r="D139" s="1" t="s">
        <v>199</v>
      </c>
      <c r="E139" s="1" t="s">
        <v>214</v>
      </c>
      <c r="F139" s="1" t="s">
        <v>542</v>
      </c>
      <c r="G139" s="1" t="s">
        <v>531</v>
      </c>
      <c r="H139" s="1" t="s">
        <v>258</v>
      </c>
      <c r="I139" s="1" t="s">
        <v>738</v>
      </c>
      <c r="J139" s="1" t="s">
        <v>1155</v>
      </c>
      <c r="K139" s="1" t="s">
        <v>1249</v>
      </c>
      <c r="L139" s="1" t="s">
        <v>1334</v>
      </c>
    </row>
    <row r="140" spans="1:12" x14ac:dyDescent="0.15">
      <c r="A140" s="1" t="s">
        <v>139</v>
      </c>
      <c r="B140" s="1" t="s">
        <v>488</v>
      </c>
      <c r="C140" s="1" t="s">
        <v>283</v>
      </c>
      <c r="D140" s="1" t="s">
        <v>199</v>
      </c>
      <c r="E140" s="1" t="s">
        <v>531</v>
      </c>
      <c r="F140" s="1" t="s">
        <v>796</v>
      </c>
      <c r="G140" s="1" t="s">
        <v>893</v>
      </c>
      <c r="H140" s="1" t="s">
        <v>731</v>
      </c>
      <c r="I140" s="1" t="s">
        <v>733</v>
      </c>
      <c r="J140" s="1" t="s">
        <v>258</v>
      </c>
      <c r="K140" s="1" t="s">
        <v>200</v>
      </c>
      <c r="L140" s="1" t="s">
        <v>538</v>
      </c>
    </row>
    <row r="141" spans="1:12" x14ac:dyDescent="0.15">
      <c r="A141" s="1" t="s">
        <v>140</v>
      </c>
      <c r="B141" s="1" t="s">
        <v>489</v>
      </c>
      <c r="C141" s="1" t="s">
        <v>315</v>
      </c>
      <c r="D141" s="1" t="s">
        <v>602</v>
      </c>
      <c r="E141" s="1" t="s">
        <v>531</v>
      </c>
      <c r="F141" s="1" t="s">
        <v>596</v>
      </c>
      <c r="G141" s="1" t="s">
        <v>258</v>
      </c>
      <c r="H141" s="1" t="s">
        <v>750</v>
      </c>
      <c r="I141" s="1" t="s">
        <v>1067</v>
      </c>
      <c r="J141" s="1" t="s">
        <v>1156</v>
      </c>
      <c r="K141" s="1" t="s">
        <v>1103</v>
      </c>
      <c r="L141" s="1" t="s">
        <v>260</v>
      </c>
    </row>
    <row r="142" spans="1:12" x14ac:dyDescent="0.15">
      <c r="A142" s="1" t="s">
        <v>141</v>
      </c>
      <c r="B142" s="1" t="s">
        <v>490</v>
      </c>
      <c r="C142" s="1" t="s">
        <v>283</v>
      </c>
      <c r="D142" s="1" t="s">
        <v>199</v>
      </c>
      <c r="E142" s="1" t="s">
        <v>531</v>
      </c>
      <c r="F142" s="1" t="s">
        <v>733</v>
      </c>
      <c r="G142" s="1" t="s">
        <v>258</v>
      </c>
      <c r="H142" s="1" t="s">
        <v>983</v>
      </c>
      <c r="I142" s="1" t="s">
        <v>1068</v>
      </c>
      <c r="J142" s="1" t="s">
        <v>538</v>
      </c>
      <c r="K142" s="1" t="s">
        <v>1126</v>
      </c>
      <c r="L142" s="1" t="s">
        <v>1335</v>
      </c>
    </row>
    <row r="143" spans="1:12" x14ac:dyDescent="0.15">
      <c r="A143" s="1" t="s">
        <v>142</v>
      </c>
      <c r="B143" s="1" t="s">
        <v>491</v>
      </c>
      <c r="C143" s="1" t="s">
        <v>316</v>
      </c>
      <c r="D143" s="1" t="s">
        <v>603</v>
      </c>
      <c r="E143" s="1" t="s">
        <v>702</v>
      </c>
      <c r="F143" s="1" t="s">
        <v>797</v>
      </c>
      <c r="G143" s="1" t="s">
        <v>894</v>
      </c>
      <c r="H143" s="1" t="s">
        <v>984</v>
      </c>
      <c r="I143" s="1" t="s">
        <v>531</v>
      </c>
      <c r="J143" s="1" t="s">
        <v>1056</v>
      </c>
      <c r="K143" s="1" t="s">
        <v>733</v>
      </c>
      <c r="L143" s="1" t="s">
        <v>640</v>
      </c>
    </row>
    <row r="144" spans="1:12" x14ac:dyDescent="0.15">
      <c r="A144" s="1" t="s">
        <v>143</v>
      </c>
      <c r="B144" s="1" t="s">
        <v>492</v>
      </c>
      <c r="C144" s="1" t="s">
        <v>283</v>
      </c>
      <c r="D144" s="1" t="s">
        <v>199</v>
      </c>
      <c r="E144" s="1" t="s">
        <v>703</v>
      </c>
      <c r="F144" s="1" t="e">
        <v>#N/A</v>
      </c>
      <c r="G144" s="1" t="e">
        <v>#N/A</v>
      </c>
      <c r="H144" s="1" t="e">
        <v>#N/A</v>
      </c>
      <c r="I144" s="1" t="e">
        <v>#N/A</v>
      </c>
      <c r="J144" s="1" t="e">
        <v>#N/A</v>
      </c>
      <c r="K144" s="1" t="e">
        <v>#N/A</v>
      </c>
      <c r="L144" s="1" t="e">
        <v>#N/A</v>
      </c>
    </row>
    <row r="145" spans="1:12" x14ac:dyDescent="0.15">
      <c r="A145" s="1" t="s">
        <v>144</v>
      </c>
      <c r="B145" s="1" t="s">
        <v>493</v>
      </c>
      <c r="C145" s="1" t="s">
        <v>317</v>
      </c>
      <c r="D145" s="1" t="s">
        <v>604</v>
      </c>
      <c r="E145" s="1" t="s">
        <v>704</v>
      </c>
      <c r="F145" s="1" t="s">
        <v>798</v>
      </c>
      <c r="G145" s="1" t="s">
        <v>895</v>
      </c>
      <c r="H145" s="1" t="s">
        <v>985</v>
      </c>
      <c r="I145" s="1" t="s">
        <v>1069</v>
      </c>
      <c r="J145" s="1" t="s">
        <v>778</v>
      </c>
      <c r="K145" s="1" t="s">
        <v>258</v>
      </c>
      <c r="L145" s="1" t="s">
        <v>1336</v>
      </c>
    </row>
    <row r="146" spans="1:12" x14ac:dyDescent="0.15">
      <c r="A146" s="1" t="s">
        <v>145</v>
      </c>
      <c r="B146" s="1" t="s">
        <v>494</v>
      </c>
      <c r="C146" s="1" t="s">
        <v>318</v>
      </c>
      <c r="D146" s="1" t="s">
        <v>605</v>
      </c>
      <c r="E146" s="1" t="s">
        <v>705</v>
      </c>
      <c r="F146" s="1" t="s">
        <v>799</v>
      </c>
      <c r="G146" s="1" t="s">
        <v>258</v>
      </c>
      <c r="H146" s="1" t="s">
        <v>986</v>
      </c>
      <c r="I146" s="1" t="s">
        <v>1070</v>
      </c>
      <c r="J146" s="1" t="s">
        <v>1157</v>
      </c>
      <c r="K146" s="1" t="s">
        <v>735</v>
      </c>
      <c r="L146" s="1" t="s">
        <v>1337</v>
      </c>
    </row>
    <row r="147" spans="1:12" x14ac:dyDescent="0.15">
      <c r="A147" s="1" t="s">
        <v>146</v>
      </c>
      <c r="B147" s="1" t="s">
        <v>495</v>
      </c>
      <c r="C147" s="1" t="s">
        <v>319</v>
      </c>
      <c r="D147" s="1" t="s">
        <v>606</v>
      </c>
      <c r="E147" s="1" t="s">
        <v>706</v>
      </c>
      <c r="F147" s="1" t="s">
        <v>800</v>
      </c>
      <c r="G147" s="1" t="s">
        <v>258</v>
      </c>
      <c r="H147" s="1" t="s">
        <v>987</v>
      </c>
      <c r="I147" s="1" t="s">
        <v>1071</v>
      </c>
      <c r="J147" s="1" t="s">
        <v>1158</v>
      </c>
      <c r="K147" s="1" t="s">
        <v>1250</v>
      </c>
      <c r="L147" s="1" t="s">
        <v>934</v>
      </c>
    </row>
    <row r="148" spans="1:12" x14ac:dyDescent="0.15">
      <c r="A148" s="1" t="s">
        <v>147</v>
      </c>
      <c r="B148" s="1" t="s">
        <v>496</v>
      </c>
      <c r="C148" s="1" t="s">
        <v>199</v>
      </c>
      <c r="D148" s="1" t="s">
        <v>258</v>
      </c>
      <c r="E148" s="1" t="s">
        <v>707</v>
      </c>
      <c r="F148" s="1" t="s">
        <v>801</v>
      </c>
      <c r="G148" s="1" t="s">
        <v>896</v>
      </c>
      <c r="H148" s="1" t="s">
        <v>988</v>
      </c>
      <c r="I148" s="1" t="s">
        <v>1072</v>
      </c>
      <c r="J148" s="1" t="s">
        <v>540</v>
      </c>
      <c r="K148" s="1" t="s">
        <v>538</v>
      </c>
      <c r="L148" s="1" t="s">
        <v>1338</v>
      </c>
    </row>
    <row r="149" spans="1:12" x14ac:dyDescent="0.15">
      <c r="A149" s="1" t="s">
        <v>148</v>
      </c>
      <c r="B149" s="1" t="s">
        <v>497</v>
      </c>
      <c r="C149" s="1" t="s">
        <v>320</v>
      </c>
      <c r="D149" s="1" t="s">
        <v>607</v>
      </c>
      <c r="E149" s="1" t="s">
        <v>708</v>
      </c>
      <c r="F149" s="1" t="s">
        <v>802</v>
      </c>
      <c r="G149" s="1" t="s">
        <v>897</v>
      </c>
      <c r="H149" s="1" t="s">
        <v>258</v>
      </c>
      <c r="I149" s="1" t="s">
        <v>1073</v>
      </c>
      <c r="J149" s="1" t="s">
        <v>1159</v>
      </c>
      <c r="K149" s="1" t="s">
        <v>1251</v>
      </c>
      <c r="L149" s="1" t="s">
        <v>1339</v>
      </c>
    </row>
    <row r="150" spans="1:12" x14ac:dyDescent="0.15">
      <c r="A150" s="1" t="s">
        <v>149</v>
      </c>
      <c r="B150" s="1" t="s">
        <v>498</v>
      </c>
      <c r="C150" s="1" t="s">
        <v>321</v>
      </c>
      <c r="D150" s="1" t="s">
        <v>608</v>
      </c>
      <c r="E150" s="1" t="s">
        <v>258</v>
      </c>
      <c r="F150" s="1" t="s">
        <v>803</v>
      </c>
      <c r="G150" s="1" t="s">
        <v>898</v>
      </c>
      <c r="H150" s="1" t="s">
        <v>989</v>
      </c>
      <c r="I150" s="1" t="s">
        <v>531</v>
      </c>
      <c r="J150" s="1" t="s">
        <v>1160</v>
      </c>
      <c r="K150" s="1" t="s">
        <v>1252</v>
      </c>
      <c r="L150" s="1" t="s">
        <v>1340</v>
      </c>
    </row>
    <row r="151" spans="1:12" x14ac:dyDescent="0.15">
      <c r="A151" s="1" t="s">
        <v>150</v>
      </c>
      <c r="B151" s="1" t="s">
        <v>499</v>
      </c>
      <c r="C151" s="1" t="s">
        <v>322</v>
      </c>
      <c r="D151" s="1" t="s">
        <v>609</v>
      </c>
      <c r="E151" s="1" t="s">
        <v>258</v>
      </c>
      <c r="F151" s="1" t="s">
        <v>804</v>
      </c>
      <c r="G151" s="1" t="s">
        <v>751</v>
      </c>
      <c r="H151" s="1" t="s">
        <v>990</v>
      </c>
      <c r="I151" s="1" t="s">
        <v>1074</v>
      </c>
      <c r="J151" s="1" t="s">
        <v>1161</v>
      </c>
      <c r="K151" s="1" t="s">
        <v>935</v>
      </c>
      <c r="L151" s="1" t="s">
        <v>538</v>
      </c>
    </row>
    <row r="152" spans="1:12" x14ac:dyDescent="0.15">
      <c r="A152" s="1" t="s">
        <v>151</v>
      </c>
      <c r="B152" s="1" t="s">
        <v>500</v>
      </c>
      <c r="C152" s="1" t="s">
        <v>323</v>
      </c>
      <c r="D152" s="1" t="s">
        <v>258</v>
      </c>
      <c r="E152" s="1" t="e">
        <v>#N/A</v>
      </c>
      <c r="F152" s="1" t="e">
        <v>#N/A</v>
      </c>
      <c r="G152" s="1" t="e">
        <v>#N/A</v>
      </c>
      <c r="H152" s="1" t="e">
        <v>#N/A</v>
      </c>
      <c r="I152" s="1" t="e">
        <v>#N/A</v>
      </c>
      <c r="J152" s="1" t="e">
        <v>#N/A</v>
      </c>
      <c r="K152" s="1" t="e">
        <v>#N/A</v>
      </c>
      <c r="L152" s="1" t="e">
        <v>#N/A</v>
      </c>
    </row>
    <row r="153" spans="1:12" x14ac:dyDescent="0.15">
      <c r="A153" s="1" t="s">
        <v>152</v>
      </c>
      <c r="B153" s="1" t="s">
        <v>501</v>
      </c>
      <c r="C153" s="1" t="s">
        <v>324</v>
      </c>
      <c r="D153" s="1" t="s">
        <v>610</v>
      </c>
      <c r="E153" s="1" t="s">
        <v>709</v>
      </c>
      <c r="F153" s="1" t="s">
        <v>805</v>
      </c>
      <c r="G153" s="1" t="s">
        <v>258</v>
      </c>
      <c r="H153" s="1" t="s">
        <v>713</v>
      </c>
      <c r="I153" s="1" t="s">
        <v>1075</v>
      </c>
      <c r="J153" s="1" t="s">
        <v>1162</v>
      </c>
      <c r="K153" s="1" t="s">
        <v>1253</v>
      </c>
      <c r="L153" s="1" t="s">
        <v>1341</v>
      </c>
    </row>
    <row r="154" spans="1:12" x14ac:dyDescent="0.15">
      <c r="A154" s="1" t="s">
        <v>153</v>
      </c>
      <c r="B154" s="1" t="s">
        <v>502</v>
      </c>
      <c r="C154" s="1" t="s">
        <v>325</v>
      </c>
      <c r="D154" s="1" t="s">
        <v>611</v>
      </c>
      <c r="E154" s="1" t="s">
        <v>710</v>
      </c>
      <c r="F154" s="1" t="s">
        <v>806</v>
      </c>
      <c r="G154" s="1" t="s">
        <v>899</v>
      </c>
      <c r="H154" s="1" t="s">
        <v>258</v>
      </c>
      <c r="I154" s="1" t="s">
        <v>1076</v>
      </c>
      <c r="J154" s="1" t="s">
        <v>1163</v>
      </c>
      <c r="K154" s="1" t="s">
        <v>1254</v>
      </c>
      <c r="L154" s="1" t="s">
        <v>1342</v>
      </c>
    </row>
    <row r="155" spans="1:12" x14ac:dyDescent="0.15">
      <c r="A155" s="1" t="s">
        <v>154</v>
      </c>
      <c r="B155" s="1" t="s">
        <v>503</v>
      </c>
      <c r="C155" s="1" t="s">
        <v>326</v>
      </c>
      <c r="D155" s="1" t="s">
        <v>612</v>
      </c>
      <c r="E155" s="1" t="s">
        <v>711</v>
      </c>
      <c r="F155" s="1" t="s">
        <v>258</v>
      </c>
      <c r="G155" s="1" t="s">
        <v>900</v>
      </c>
      <c r="H155" s="1" t="s">
        <v>991</v>
      </c>
      <c r="I155" s="1" t="s">
        <v>1077</v>
      </c>
      <c r="J155" s="1" t="s">
        <v>1164</v>
      </c>
      <c r="K155" s="1" t="s">
        <v>1255</v>
      </c>
      <c r="L155" s="1" t="s">
        <v>1343</v>
      </c>
    </row>
    <row r="156" spans="1:12" x14ac:dyDescent="0.15">
      <c r="A156" s="1" t="s">
        <v>155</v>
      </c>
      <c r="B156" s="1" t="s">
        <v>504</v>
      </c>
      <c r="C156" s="1" t="s">
        <v>327</v>
      </c>
      <c r="D156" s="1" t="s">
        <v>258</v>
      </c>
      <c r="E156" s="1" t="s">
        <v>712</v>
      </c>
      <c r="F156" s="1" t="s">
        <v>807</v>
      </c>
      <c r="G156" s="1" t="s">
        <v>751</v>
      </c>
      <c r="H156" s="1" t="s">
        <v>992</v>
      </c>
      <c r="I156" s="1" t="s">
        <v>1078</v>
      </c>
      <c r="J156" s="1" t="s">
        <v>1165</v>
      </c>
      <c r="K156" s="1" t="s">
        <v>1256</v>
      </c>
      <c r="L156" s="1" t="s">
        <v>1344</v>
      </c>
    </row>
    <row r="157" spans="1:12" x14ac:dyDescent="0.15">
      <c r="A157" s="1" t="s">
        <v>156</v>
      </c>
      <c r="B157" s="1" t="s">
        <v>505</v>
      </c>
      <c r="C157" s="1" t="s">
        <v>328</v>
      </c>
      <c r="D157" s="1" t="s">
        <v>613</v>
      </c>
      <c r="E157" s="1" t="s">
        <v>258</v>
      </c>
      <c r="F157" s="1" t="s">
        <v>808</v>
      </c>
      <c r="G157" s="1" t="s">
        <v>901</v>
      </c>
      <c r="H157" s="1" t="s">
        <v>993</v>
      </c>
      <c r="I157" s="1" t="s">
        <v>1002</v>
      </c>
      <c r="J157" s="1" t="s">
        <v>1166</v>
      </c>
      <c r="K157" s="1" t="s">
        <v>942</v>
      </c>
      <c r="L157" s="1" t="s">
        <v>1345</v>
      </c>
    </row>
    <row r="158" spans="1:12" x14ac:dyDescent="0.15">
      <c r="A158" s="1" t="s">
        <v>157</v>
      </c>
      <c r="B158" s="1" t="s">
        <v>506</v>
      </c>
      <c r="C158" s="1" t="s">
        <v>329</v>
      </c>
      <c r="D158" s="1" t="s">
        <v>614</v>
      </c>
      <c r="E158" s="1" t="s">
        <v>713</v>
      </c>
      <c r="F158" s="1" t="s">
        <v>258</v>
      </c>
      <c r="G158" s="1" t="s">
        <v>902</v>
      </c>
      <c r="H158" s="1" t="s">
        <v>994</v>
      </c>
      <c r="I158" s="1" t="s">
        <v>1079</v>
      </c>
      <c r="J158" s="1" t="s">
        <v>1167</v>
      </c>
      <c r="K158" s="1" t="s">
        <v>1257</v>
      </c>
      <c r="L158" s="1" t="s">
        <v>1346</v>
      </c>
    </row>
    <row r="159" spans="1:12" x14ac:dyDescent="0.15">
      <c r="A159" s="1" t="s">
        <v>158</v>
      </c>
      <c r="B159" s="1" t="s">
        <v>507</v>
      </c>
      <c r="C159" s="1" t="s">
        <v>330</v>
      </c>
      <c r="D159" s="1" t="s">
        <v>258</v>
      </c>
      <c r="E159" s="1" t="s">
        <v>714</v>
      </c>
      <c r="F159" s="1" t="s">
        <v>739</v>
      </c>
      <c r="G159" s="1" t="s">
        <v>903</v>
      </c>
      <c r="H159" s="1" t="s">
        <v>995</v>
      </c>
      <c r="I159" s="1" t="s">
        <v>892</v>
      </c>
      <c r="J159" s="1" t="s">
        <v>1168</v>
      </c>
      <c r="K159" s="1" t="s">
        <v>1258</v>
      </c>
      <c r="L159" s="1" t="s">
        <v>1347</v>
      </c>
    </row>
    <row r="160" spans="1:12" x14ac:dyDescent="0.15">
      <c r="A160" s="1" t="s">
        <v>159</v>
      </c>
      <c r="B160" s="1" t="s">
        <v>508</v>
      </c>
      <c r="C160" s="1" t="s">
        <v>331</v>
      </c>
      <c r="D160" s="1" t="s">
        <v>615</v>
      </c>
      <c r="E160" s="1" t="s">
        <v>258</v>
      </c>
      <c r="F160" s="1" t="s">
        <v>809</v>
      </c>
      <c r="G160" s="1" t="s">
        <v>904</v>
      </c>
      <c r="H160" s="1" t="s">
        <v>996</v>
      </c>
      <c r="I160" s="1" t="s">
        <v>1080</v>
      </c>
      <c r="J160" s="1" t="s">
        <v>1169</v>
      </c>
      <c r="K160" s="1" t="s">
        <v>1218</v>
      </c>
      <c r="L160" s="1" t="s">
        <v>1348</v>
      </c>
    </row>
    <row r="161" spans="1:12" x14ac:dyDescent="0.15">
      <c r="A161" s="1" t="s">
        <v>160</v>
      </c>
      <c r="B161" s="1" t="s">
        <v>509</v>
      </c>
      <c r="C161" s="1" t="s">
        <v>332</v>
      </c>
      <c r="D161" s="1" t="s">
        <v>616</v>
      </c>
      <c r="E161" s="1" t="s">
        <v>715</v>
      </c>
      <c r="F161" s="1" t="s">
        <v>810</v>
      </c>
      <c r="G161" s="1" t="s">
        <v>258</v>
      </c>
      <c r="H161" s="1" t="s">
        <v>997</v>
      </c>
      <c r="I161" s="1" t="s">
        <v>905</v>
      </c>
      <c r="J161" s="1" t="s">
        <v>998</v>
      </c>
      <c r="K161" s="1" t="s">
        <v>1259</v>
      </c>
      <c r="L161" s="1" t="s">
        <v>1349</v>
      </c>
    </row>
    <row r="162" spans="1:12" x14ac:dyDescent="0.15">
      <c r="A162" s="1" t="s">
        <v>161</v>
      </c>
      <c r="B162" s="1" t="s">
        <v>510</v>
      </c>
      <c r="C162" s="1" t="s">
        <v>333</v>
      </c>
      <c r="D162" s="1" t="s">
        <v>617</v>
      </c>
      <c r="E162" s="1" t="e">
        <v>#N/A</v>
      </c>
      <c r="F162" s="1" t="e">
        <v>#N/A</v>
      </c>
      <c r="G162" s="1" t="e">
        <v>#N/A</v>
      </c>
      <c r="H162" s="1" t="e">
        <v>#N/A</v>
      </c>
      <c r="I162" s="1" t="e">
        <v>#N/A</v>
      </c>
      <c r="J162" s="1" t="e">
        <v>#N/A</v>
      </c>
      <c r="K162" s="1" t="e">
        <v>#N/A</v>
      </c>
      <c r="L162" s="1" t="e">
        <v>#N/A</v>
      </c>
    </row>
    <row r="163" spans="1:12" x14ac:dyDescent="0.15">
      <c r="A163" s="1" t="s">
        <v>162</v>
      </c>
      <c r="B163" s="1" t="s">
        <v>511</v>
      </c>
      <c r="C163" s="1" t="s">
        <v>334</v>
      </c>
      <c r="D163" s="1" t="s">
        <v>258</v>
      </c>
      <c r="E163" s="1" t="s">
        <v>716</v>
      </c>
      <c r="F163" s="1" t="s">
        <v>811</v>
      </c>
      <c r="G163" s="1" t="s">
        <v>905</v>
      </c>
      <c r="H163" s="1" t="s">
        <v>998</v>
      </c>
      <c r="I163" s="1" t="s">
        <v>1060</v>
      </c>
      <c r="J163" s="1" t="s">
        <v>1170</v>
      </c>
      <c r="K163" s="1" t="s">
        <v>778</v>
      </c>
      <c r="L163" s="1" t="s">
        <v>1350</v>
      </c>
    </row>
    <row r="164" spans="1:12" x14ac:dyDescent="0.15">
      <c r="A164" s="1" t="s">
        <v>163</v>
      </c>
      <c r="B164" s="1" t="s">
        <v>512</v>
      </c>
      <c r="C164" s="1" t="s">
        <v>335</v>
      </c>
      <c r="D164" s="1" t="s">
        <v>618</v>
      </c>
      <c r="E164" s="1" t="s">
        <v>258</v>
      </c>
      <c r="F164" s="1" t="s">
        <v>812</v>
      </c>
      <c r="G164" s="1" t="s">
        <v>906</v>
      </c>
      <c r="H164" s="1" t="s">
        <v>905</v>
      </c>
      <c r="I164" s="1" t="s">
        <v>660</v>
      </c>
      <c r="J164" s="1" t="s">
        <v>1171</v>
      </c>
      <c r="K164" s="1" t="s">
        <v>1237</v>
      </c>
      <c r="L164" s="1" t="s">
        <v>1351</v>
      </c>
    </row>
    <row r="165" spans="1:12" x14ac:dyDescent="0.15">
      <c r="A165" s="1" t="s">
        <v>164</v>
      </c>
      <c r="B165" s="1" t="s">
        <v>513</v>
      </c>
      <c r="C165" s="1" t="s">
        <v>336</v>
      </c>
      <c r="D165" s="1" t="s">
        <v>258</v>
      </c>
      <c r="E165" s="1" t="s">
        <v>717</v>
      </c>
      <c r="F165" s="1" t="s">
        <v>813</v>
      </c>
      <c r="G165" s="1" t="e">
        <v>#N/A</v>
      </c>
      <c r="H165" s="1" t="e">
        <v>#N/A</v>
      </c>
      <c r="I165" s="1" t="e">
        <v>#N/A</v>
      </c>
      <c r="J165" s="1" t="e">
        <v>#N/A</v>
      </c>
      <c r="K165" s="1" t="e">
        <v>#N/A</v>
      </c>
      <c r="L165" s="1" t="e">
        <v>#N/A</v>
      </c>
    </row>
    <row r="166" spans="1:12" x14ac:dyDescent="0.15">
      <c r="A166" s="1" t="s">
        <v>165</v>
      </c>
      <c r="B166" s="1" t="s">
        <v>514</v>
      </c>
      <c r="C166" s="1" t="s">
        <v>337</v>
      </c>
      <c r="D166" s="1" t="s">
        <v>258</v>
      </c>
      <c r="E166" s="1" t="s">
        <v>718</v>
      </c>
      <c r="F166" s="1" t="s">
        <v>240</v>
      </c>
      <c r="G166" s="1" t="s">
        <v>907</v>
      </c>
      <c r="H166" s="1" t="s">
        <v>999</v>
      </c>
      <c r="I166" s="1" t="s">
        <v>1081</v>
      </c>
      <c r="J166" s="1" t="s">
        <v>751</v>
      </c>
      <c r="K166" s="1" t="s">
        <v>935</v>
      </c>
      <c r="L166" s="1" t="s">
        <v>992</v>
      </c>
    </row>
    <row r="167" spans="1:12" x14ac:dyDescent="0.15">
      <c r="A167" s="1" t="s">
        <v>166</v>
      </c>
      <c r="B167" s="1" t="s">
        <v>515</v>
      </c>
      <c r="C167" s="1" t="s">
        <v>338</v>
      </c>
      <c r="D167" s="1" t="s">
        <v>619</v>
      </c>
      <c r="E167" s="1" t="s">
        <v>199</v>
      </c>
      <c r="F167" s="1" t="s">
        <v>258</v>
      </c>
      <c r="G167" s="1" t="s">
        <v>908</v>
      </c>
      <c r="H167" s="1" t="s">
        <v>905</v>
      </c>
      <c r="I167" s="1" t="s">
        <v>640</v>
      </c>
      <c r="J167" s="1" t="s">
        <v>1172</v>
      </c>
      <c r="K167" s="1" t="s">
        <v>1260</v>
      </c>
      <c r="L167" s="1" t="s">
        <v>778</v>
      </c>
    </row>
    <row r="168" spans="1:12" x14ac:dyDescent="0.15">
      <c r="A168" s="1" t="s">
        <v>167</v>
      </c>
      <c r="B168" s="1" t="s">
        <v>516</v>
      </c>
      <c r="C168" s="1" t="s">
        <v>339</v>
      </c>
      <c r="D168" s="1" t="s">
        <v>620</v>
      </c>
      <c r="E168" s="1" t="s">
        <v>258</v>
      </c>
      <c r="F168" s="1" t="s">
        <v>814</v>
      </c>
      <c r="G168" s="1" t="s">
        <v>909</v>
      </c>
      <c r="H168" s="1" t="s">
        <v>1000</v>
      </c>
      <c r="I168" s="1" t="s">
        <v>1082</v>
      </c>
      <c r="J168" s="1" t="s">
        <v>1173</v>
      </c>
      <c r="K168" s="1" t="s">
        <v>1261</v>
      </c>
      <c r="L168" s="1" t="s">
        <v>1352</v>
      </c>
    </row>
    <row r="169" spans="1:12" x14ac:dyDescent="0.15">
      <c r="A169" s="1" t="s">
        <v>168</v>
      </c>
      <c r="B169" s="1" t="s">
        <v>517</v>
      </c>
      <c r="C169" s="1" t="s">
        <v>340</v>
      </c>
      <c r="D169" s="1" t="s">
        <v>621</v>
      </c>
      <c r="E169" s="1" t="s">
        <v>719</v>
      </c>
      <c r="F169" s="1" t="s">
        <v>815</v>
      </c>
      <c r="G169" s="1" t="s">
        <v>910</v>
      </c>
      <c r="H169" s="1" t="s">
        <v>751</v>
      </c>
      <c r="I169" s="1" t="s">
        <v>258</v>
      </c>
      <c r="J169" s="1" t="s">
        <v>1174</v>
      </c>
      <c r="K169" s="1" t="s">
        <v>1262</v>
      </c>
      <c r="L169" s="1" t="s">
        <v>1353</v>
      </c>
    </row>
    <row r="170" spans="1:12" x14ac:dyDescent="0.15">
      <c r="A170" s="1" t="s">
        <v>169</v>
      </c>
      <c r="B170" s="1" t="s">
        <v>518</v>
      </c>
      <c r="C170" s="1" t="s">
        <v>341</v>
      </c>
      <c r="D170" s="1" t="s">
        <v>622</v>
      </c>
      <c r="E170" s="1" t="s">
        <v>720</v>
      </c>
      <c r="F170" s="1" t="s">
        <v>816</v>
      </c>
      <c r="G170" s="1" t="s">
        <v>911</v>
      </c>
      <c r="H170" s="1" t="s">
        <v>1001</v>
      </c>
      <c r="I170" s="1" t="s">
        <v>258</v>
      </c>
      <c r="J170" s="1" t="s">
        <v>1175</v>
      </c>
      <c r="K170" s="1" t="s">
        <v>1263</v>
      </c>
      <c r="L170" s="1" t="s">
        <v>1354</v>
      </c>
    </row>
    <row r="171" spans="1:12" x14ac:dyDescent="0.15">
      <c r="A171" s="1" t="s">
        <v>170</v>
      </c>
      <c r="B171" s="1" t="s">
        <v>519</v>
      </c>
      <c r="C171" s="1" t="s">
        <v>342</v>
      </c>
      <c r="D171" s="1" t="s">
        <v>623</v>
      </c>
      <c r="E171" s="1" t="s">
        <v>258</v>
      </c>
      <c r="F171" s="1" t="s">
        <v>817</v>
      </c>
      <c r="G171" s="1" t="e">
        <v>#N/A</v>
      </c>
      <c r="H171" s="1" t="e">
        <v>#N/A</v>
      </c>
      <c r="I171" s="1" t="e">
        <v>#N/A</v>
      </c>
      <c r="J171" s="1" t="e">
        <v>#N/A</v>
      </c>
      <c r="K171" s="1" t="e">
        <v>#N/A</v>
      </c>
      <c r="L171" s="1" t="e">
        <v>#N/A</v>
      </c>
    </row>
    <row r="172" spans="1:12" x14ac:dyDescent="0.15">
      <c r="A172" s="1" t="s">
        <v>171</v>
      </c>
      <c r="B172" s="1" t="s">
        <v>520</v>
      </c>
      <c r="C172" s="1" t="s">
        <v>343</v>
      </c>
      <c r="D172" s="1" t="s">
        <v>624</v>
      </c>
      <c r="E172" s="1" t="e">
        <v>#N/A</v>
      </c>
      <c r="F172" s="1" t="e">
        <v>#N/A</v>
      </c>
      <c r="G172" s="1" t="e">
        <v>#N/A</v>
      </c>
      <c r="H172" s="1" t="e">
        <v>#N/A</v>
      </c>
      <c r="I172" s="1" t="e">
        <v>#N/A</v>
      </c>
      <c r="J172" s="1" t="e">
        <v>#N/A</v>
      </c>
      <c r="K172" s="1" t="e">
        <v>#N/A</v>
      </c>
      <c r="L172" s="1" t="e">
        <v>#N/A</v>
      </c>
    </row>
    <row r="173" spans="1:12" x14ac:dyDescent="0.15">
      <c r="A173" s="1" t="s">
        <v>172</v>
      </c>
      <c r="B173" s="1" t="s">
        <v>521</v>
      </c>
      <c r="C173" s="1" t="s">
        <v>344</v>
      </c>
      <c r="D173" s="1" t="s">
        <v>625</v>
      </c>
      <c r="E173" s="1" t="s">
        <v>258</v>
      </c>
      <c r="F173" s="1" t="s">
        <v>720</v>
      </c>
      <c r="G173" s="1" t="s">
        <v>912</v>
      </c>
      <c r="H173" s="1" t="s">
        <v>1002</v>
      </c>
      <c r="I173" s="1" t="s">
        <v>1083</v>
      </c>
      <c r="J173" s="1" t="s">
        <v>1176</v>
      </c>
      <c r="K173" s="1" t="s">
        <v>1264</v>
      </c>
      <c r="L173" s="1" t="s">
        <v>1180</v>
      </c>
    </row>
    <row r="174" spans="1:12" x14ac:dyDescent="0.15">
      <c r="A174" s="1" t="s">
        <v>173</v>
      </c>
      <c r="B174" s="1" t="s">
        <v>522</v>
      </c>
      <c r="C174" s="1" t="s">
        <v>345</v>
      </c>
      <c r="D174" s="1" t="e">
        <v>#N/A</v>
      </c>
      <c r="E174" s="1" t="e">
        <v>#N/A</v>
      </c>
      <c r="F174" s="1" t="e">
        <v>#N/A</v>
      </c>
      <c r="G174" s="1" t="e">
        <v>#N/A</v>
      </c>
      <c r="H174" s="1" t="e">
        <v>#N/A</v>
      </c>
      <c r="I174" s="1" t="e">
        <v>#N/A</v>
      </c>
      <c r="J174" s="1" t="e">
        <v>#N/A</v>
      </c>
      <c r="K174" s="1" t="e">
        <v>#N/A</v>
      </c>
      <c r="L174" s="1" t="e">
        <v>#N/A</v>
      </c>
    </row>
    <row r="175" spans="1:12" x14ac:dyDescent="0.15">
      <c r="A175" s="1" t="s">
        <v>174</v>
      </c>
      <c r="B175" s="1" t="s">
        <v>523</v>
      </c>
      <c r="C175" s="1" t="s">
        <v>346</v>
      </c>
      <c r="D175" s="1" t="s">
        <v>626</v>
      </c>
      <c r="E175" s="1" t="s">
        <v>721</v>
      </c>
      <c r="F175" s="1" t="s">
        <v>258</v>
      </c>
      <c r="G175" s="1" t="s">
        <v>913</v>
      </c>
      <c r="H175" s="1" t="s">
        <v>720</v>
      </c>
      <c r="I175" s="1" t="s">
        <v>857</v>
      </c>
      <c r="J175" s="1" t="s">
        <v>798</v>
      </c>
      <c r="K175" s="1" t="s">
        <v>1180</v>
      </c>
      <c r="L175" s="1" t="s">
        <v>1115</v>
      </c>
    </row>
    <row r="176" spans="1:12" x14ac:dyDescent="0.15">
      <c r="A176" s="1" t="s">
        <v>175</v>
      </c>
      <c r="B176" s="1" t="s">
        <v>524</v>
      </c>
      <c r="C176" s="1" t="s">
        <v>199</v>
      </c>
      <c r="D176" s="1" t="s">
        <v>627</v>
      </c>
      <c r="E176" s="1" t="s">
        <v>722</v>
      </c>
      <c r="F176" s="1" t="s">
        <v>818</v>
      </c>
      <c r="G176" s="1" t="s">
        <v>914</v>
      </c>
      <c r="H176" s="1" t="s">
        <v>1003</v>
      </c>
      <c r="I176" s="1" t="s">
        <v>720</v>
      </c>
      <c r="J176" s="1" t="s">
        <v>1177</v>
      </c>
      <c r="K176" s="1" t="s">
        <v>258</v>
      </c>
      <c r="L176" s="1" t="s">
        <v>1355</v>
      </c>
    </row>
    <row r="177" spans="1:12" x14ac:dyDescent="0.15">
      <c r="A177" s="1" t="s">
        <v>176</v>
      </c>
      <c r="B177" s="1" t="s">
        <v>525</v>
      </c>
      <c r="C177" s="1" t="s">
        <v>347</v>
      </c>
      <c r="D177" s="1" t="s">
        <v>628</v>
      </c>
      <c r="E177" s="1" t="s">
        <v>723</v>
      </c>
      <c r="F177" s="1" t="s">
        <v>819</v>
      </c>
      <c r="G177" s="1" t="s">
        <v>915</v>
      </c>
      <c r="H177" s="1" t="s">
        <v>1004</v>
      </c>
      <c r="I177" s="1" t="s">
        <v>1084</v>
      </c>
      <c r="J177" s="1" t="s">
        <v>1178</v>
      </c>
      <c r="K177" s="1" t="s">
        <v>1265</v>
      </c>
      <c r="L177" s="1" t="s">
        <v>1356</v>
      </c>
    </row>
    <row r="178" spans="1:12" x14ac:dyDescent="0.15">
      <c r="A178" s="1" t="s">
        <v>177</v>
      </c>
      <c r="B178" s="1" t="s">
        <v>526</v>
      </c>
      <c r="C178" s="1" t="s">
        <v>348</v>
      </c>
      <c r="D178" s="1" t="s">
        <v>629</v>
      </c>
      <c r="E178" s="1" t="s">
        <v>724</v>
      </c>
      <c r="F178" s="1" t="s">
        <v>820</v>
      </c>
      <c r="G178" s="1" t="s">
        <v>916</v>
      </c>
      <c r="H178" s="1" t="s">
        <v>1005</v>
      </c>
      <c r="I178" s="1" t="s">
        <v>1085</v>
      </c>
      <c r="J178" s="1" t="s">
        <v>720</v>
      </c>
      <c r="K178" s="1" t="s">
        <v>1266</v>
      </c>
      <c r="L178" s="1" t="s">
        <v>1049</v>
      </c>
    </row>
    <row r="179" spans="1:12" x14ac:dyDescent="0.15">
      <c r="A179" s="1" t="s">
        <v>178</v>
      </c>
      <c r="B179" s="1" t="s">
        <v>527</v>
      </c>
      <c r="C179" s="1" t="s">
        <v>349</v>
      </c>
      <c r="D179" s="1" t="s">
        <v>630</v>
      </c>
      <c r="E179" s="1" t="s">
        <v>258</v>
      </c>
      <c r="F179" s="1" t="s">
        <v>821</v>
      </c>
      <c r="G179" s="1" t="s">
        <v>917</v>
      </c>
      <c r="H179" s="1" t="s">
        <v>1006</v>
      </c>
      <c r="I179" s="1" t="s">
        <v>720</v>
      </c>
      <c r="J179" s="1" t="s">
        <v>1179</v>
      </c>
      <c r="K179" s="1" t="s">
        <v>840</v>
      </c>
      <c r="L179" s="1" t="s">
        <v>1357</v>
      </c>
    </row>
    <row r="180" spans="1:12" x14ac:dyDescent="0.15">
      <c r="A180" s="1" t="s">
        <v>179</v>
      </c>
      <c r="B180" s="1" t="s">
        <v>528</v>
      </c>
      <c r="C180" s="1" t="s">
        <v>350</v>
      </c>
      <c r="D180" s="1" t="s">
        <v>631</v>
      </c>
      <c r="E180" s="1" t="s">
        <v>258</v>
      </c>
      <c r="F180" s="1" t="s">
        <v>822</v>
      </c>
      <c r="G180" s="1" t="s">
        <v>918</v>
      </c>
      <c r="H180" s="1" t="s">
        <v>1007</v>
      </c>
      <c r="I180" s="1" t="s">
        <v>720</v>
      </c>
      <c r="J180" s="1" t="s">
        <v>909</v>
      </c>
      <c r="K180" s="1" t="s">
        <v>1267</v>
      </c>
      <c r="L180" s="1" t="s">
        <v>1000</v>
      </c>
    </row>
    <row r="181" spans="1:12" x14ac:dyDescent="0.15">
      <c r="A181" s="1" t="s">
        <v>180</v>
      </c>
      <c r="B181" s="1" t="s">
        <v>529</v>
      </c>
      <c r="C181" s="1" t="s">
        <v>351</v>
      </c>
      <c r="D181" s="1" t="s">
        <v>632</v>
      </c>
      <c r="E181" s="1" t="s">
        <v>725</v>
      </c>
      <c r="F181" s="1" t="s">
        <v>823</v>
      </c>
      <c r="G181" s="1" t="e">
        <v>#N/A</v>
      </c>
      <c r="H181" s="1" t="e">
        <v>#N/A</v>
      </c>
      <c r="I181" s="1" t="e">
        <v>#N/A</v>
      </c>
      <c r="J181" s="1" t="e">
        <v>#N/A</v>
      </c>
      <c r="K181" s="1" t="e">
        <v>#N/A</v>
      </c>
      <c r="L181" s="1" t="e">
        <v>#N/A</v>
      </c>
    </row>
    <row r="182" spans="1:12" x14ac:dyDescent="0.15">
      <c r="A182" s="1" t="s">
        <v>181</v>
      </c>
      <c r="B182" s="1" t="s">
        <v>530</v>
      </c>
      <c r="C182" s="1" t="s">
        <v>199</v>
      </c>
      <c r="D182" s="1" t="s">
        <v>633</v>
      </c>
      <c r="E182" s="1" t="s">
        <v>726</v>
      </c>
      <c r="F182" s="1" t="s">
        <v>824</v>
      </c>
      <c r="G182" s="1" t="s">
        <v>720</v>
      </c>
      <c r="H182" s="1" t="s">
        <v>1008</v>
      </c>
      <c r="I182" s="1" t="s">
        <v>751</v>
      </c>
      <c r="J182" s="1" t="s">
        <v>1180</v>
      </c>
      <c r="K182" s="1" t="s">
        <v>953</v>
      </c>
      <c r="L182" s="1" t="s">
        <v>1081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2023-07-01T09:47:19Z</dcterms:created>
  <dcterms:modified xsi:type="dcterms:W3CDTF">2023-07-01T09:55:30Z</dcterms:modified>
</cp:coreProperties>
</file>